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f5dc93f9191936/Documents/"/>
    </mc:Choice>
  </mc:AlternateContent>
  <xr:revisionPtr revIDLastSave="170" documentId="8_{3D99BAF5-C5EE-499D-9440-87B5ED569E35}" xr6:coauthVersionLast="47" xr6:coauthVersionMax="47" xr10:uidLastSave="{4C181318-7A7B-4889-8C8E-0D61D4D4CF24}"/>
  <bookViews>
    <workbookView xWindow="-90" yWindow="0" windowWidth="11700" windowHeight="11370" xr2:uid="{F8316B16-5116-4CA2-A26B-EC7D54CCE543}"/>
  </bookViews>
  <sheets>
    <sheet name="Cash Flow Model" sheetId="4" r:id="rId1"/>
    <sheet name="PMT Practice" sheetId="1" r:id="rId2"/>
    <sheet name="Shorcuts" sheetId="3" r:id="rId3"/>
    <sheet name="Function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4" l="1"/>
  <c r="G8" i="4"/>
  <c r="G3" i="4"/>
  <c r="H8" i="4"/>
  <c r="H3" i="4"/>
  <c r="G2" i="4"/>
  <c r="G12" i="4"/>
  <c r="H12" i="4" s="1"/>
  <c r="I12" i="4" s="1"/>
  <c r="G7" i="4"/>
  <c r="H7" i="4" s="1"/>
  <c r="I7" i="4" s="1"/>
  <c r="G6" i="4"/>
  <c r="H6" i="4" s="1"/>
  <c r="G4" i="4"/>
  <c r="H2" i="4"/>
  <c r="F14" i="4"/>
  <c r="F13" i="4"/>
  <c r="F12" i="4"/>
  <c r="F11" i="4"/>
  <c r="F9" i="4"/>
  <c r="F3" i="4"/>
  <c r="F7" i="4"/>
  <c r="F6" i="4"/>
  <c r="F4" i="4"/>
  <c r="F8" i="4" s="1"/>
  <c r="F2" i="4"/>
  <c r="E12" i="4"/>
  <c r="E7" i="4"/>
  <c r="E6" i="4"/>
  <c r="E2" i="4"/>
  <c r="E3" i="4" s="1"/>
  <c r="E4" i="4" s="1"/>
  <c r="B3" i="4"/>
  <c r="B2" i="4"/>
  <c r="B4" i="4" s="1"/>
  <c r="C30" i="1"/>
  <c r="C45" i="1"/>
  <c r="C46" i="1"/>
  <c r="C47" i="1"/>
  <c r="C48" i="1"/>
  <c r="C62" i="1"/>
  <c r="C63" i="1"/>
  <c r="C64" i="1"/>
  <c r="C65" i="1"/>
  <c r="C84" i="1"/>
  <c r="C100" i="1"/>
  <c r="C101" i="1"/>
  <c r="C102" i="1"/>
  <c r="C116" i="1"/>
  <c r="C117" i="1"/>
  <c r="C118" i="1"/>
  <c r="C119" i="1"/>
  <c r="C122" i="1"/>
  <c r="C139" i="1"/>
  <c r="C140" i="1"/>
  <c r="C155" i="1"/>
  <c r="C156" i="1"/>
  <c r="C157" i="1"/>
  <c r="C158" i="1"/>
  <c r="C171" i="1"/>
  <c r="C172" i="1"/>
  <c r="C173" i="1"/>
  <c r="C174" i="1"/>
  <c r="C191" i="1"/>
  <c r="C192" i="1"/>
  <c r="C194" i="1"/>
  <c r="C207" i="1"/>
  <c r="C208" i="1"/>
  <c r="C209" i="1"/>
  <c r="C210" i="1"/>
  <c r="C211" i="1"/>
  <c r="C212" i="1"/>
  <c r="C225" i="1"/>
  <c r="C226" i="1"/>
  <c r="C243" i="1"/>
  <c r="C244" i="1"/>
  <c r="C247" i="1"/>
  <c r="C250" i="1"/>
  <c r="C261" i="1"/>
  <c r="C262" i="1"/>
  <c r="C263" i="1"/>
  <c r="C266" i="1"/>
  <c r="C267" i="1"/>
  <c r="C268" i="1"/>
  <c r="C285" i="1"/>
  <c r="C286" i="1"/>
  <c r="C300" i="1"/>
  <c r="C301" i="1"/>
  <c r="C302" i="1"/>
  <c r="C303" i="1"/>
  <c r="C304" i="1"/>
  <c r="C317" i="1"/>
  <c r="C318" i="1"/>
  <c r="C319" i="1"/>
  <c r="C320" i="1"/>
  <c r="C337" i="1"/>
  <c r="C338" i="1"/>
  <c r="C340" i="1"/>
  <c r="C353" i="1"/>
  <c r="C354" i="1"/>
  <c r="C355" i="1"/>
  <c r="C356" i="1"/>
  <c r="C357" i="1"/>
  <c r="C358" i="1"/>
  <c r="D11" i="1"/>
  <c r="C11" i="1"/>
  <c r="E11" i="1" s="1"/>
  <c r="F11" i="1" s="1"/>
  <c r="B12" i="1" s="1"/>
  <c r="B11" i="1"/>
  <c r="F10" i="1"/>
  <c r="B5" i="1"/>
  <c r="B6" i="1" s="1"/>
  <c r="C43" i="1" s="1"/>
  <c r="G9" i="4" l="1"/>
  <c r="G11" i="4" s="1"/>
  <c r="G13" i="4" s="1"/>
  <c r="G14" i="4" s="1"/>
  <c r="I6" i="4"/>
  <c r="I2" i="4"/>
  <c r="H4" i="4"/>
  <c r="B5" i="4"/>
  <c r="E8" i="4"/>
  <c r="E9" i="4" s="1"/>
  <c r="E11" i="4" s="1"/>
  <c r="C246" i="1"/>
  <c r="C154" i="1"/>
  <c r="C99" i="1"/>
  <c r="C44" i="1"/>
  <c r="C339" i="1"/>
  <c r="C299" i="1"/>
  <c r="C245" i="1"/>
  <c r="C193" i="1"/>
  <c r="C151" i="1"/>
  <c r="C98" i="1"/>
  <c r="C24" i="1"/>
  <c r="C13" i="1"/>
  <c r="C31" i="1"/>
  <c r="C49" i="1"/>
  <c r="C67" i="1"/>
  <c r="C85" i="1"/>
  <c r="C103" i="1"/>
  <c r="C123" i="1"/>
  <c r="C141" i="1"/>
  <c r="C159" i="1"/>
  <c r="C177" i="1"/>
  <c r="C195" i="1"/>
  <c r="C213" i="1"/>
  <c r="C231" i="1"/>
  <c r="C251" i="1"/>
  <c r="C269" i="1"/>
  <c r="C287" i="1"/>
  <c r="C305" i="1"/>
  <c r="C323" i="1"/>
  <c r="C341" i="1"/>
  <c r="C359" i="1"/>
  <c r="C332" i="1"/>
  <c r="C21" i="1"/>
  <c r="C113" i="1"/>
  <c r="C205" i="1"/>
  <c r="C259" i="1"/>
  <c r="C315" i="1"/>
  <c r="C369" i="1"/>
  <c r="C60" i="1"/>
  <c r="C114" i="1"/>
  <c r="C170" i="1"/>
  <c r="C224" i="1"/>
  <c r="C298" i="1"/>
  <c r="C370" i="1"/>
  <c r="C61" i="1"/>
  <c r="C14" i="1"/>
  <c r="C32" i="1"/>
  <c r="C50" i="1"/>
  <c r="C68" i="1"/>
  <c r="C86" i="1"/>
  <c r="C106" i="1"/>
  <c r="C124" i="1"/>
  <c r="C142" i="1"/>
  <c r="C160" i="1"/>
  <c r="C178" i="1"/>
  <c r="C196" i="1"/>
  <c r="C214" i="1"/>
  <c r="C234" i="1"/>
  <c r="C252" i="1"/>
  <c r="C270" i="1"/>
  <c r="C288" i="1"/>
  <c r="C306" i="1"/>
  <c r="C324" i="1"/>
  <c r="C342" i="1"/>
  <c r="C362" i="1"/>
  <c r="C15" i="1"/>
  <c r="C33" i="1"/>
  <c r="C51" i="1"/>
  <c r="C69" i="1"/>
  <c r="C87" i="1"/>
  <c r="C107" i="1"/>
  <c r="C125" i="1"/>
  <c r="C143" i="1"/>
  <c r="C161" i="1"/>
  <c r="C179" i="1"/>
  <c r="C197" i="1"/>
  <c r="C215" i="1"/>
  <c r="C235" i="1"/>
  <c r="C253" i="1"/>
  <c r="C271" i="1"/>
  <c r="C289" i="1"/>
  <c r="C307" i="1"/>
  <c r="C325" i="1"/>
  <c r="C343" i="1"/>
  <c r="C363" i="1"/>
  <c r="C36" i="1"/>
  <c r="C54" i="1"/>
  <c r="C92" i="1"/>
  <c r="C128" i="1"/>
  <c r="C164" i="1"/>
  <c r="C202" i="1"/>
  <c r="C238" i="1"/>
  <c r="C256" i="1"/>
  <c r="C292" i="1"/>
  <c r="C330" i="1"/>
  <c r="C366" i="1"/>
  <c r="C37" i="1"/>
  <c r="C75" i="1"/>
  <c r="C111" i="1"/>
  <c r="C147" i="1"/>
  <c r="C165" i="1"/>
  <c r="C203" i="1"/>
  <c r="C221" i="1"/>
  <c r="C257" i="1"/>
  <c r="C293" i="1"/>
  <c r="C331" i="1"/>
  <c r="C367" i="1"/>
  <c r="C38" i="1"/>
  <c r="C58" i="1"/>
  <c r="C94" i="1"/>
  <c r="C130" i="1"/>
  <c r="C166" i="1"/>
  <c r="C204" i="1"/>
  <c r="C240" i="1"/>
  <c r="C276" i="1"/>
  <c r="C314" i="1"/>
  <c r="C368" i="1"/>
  <c r="C39" i="1"/>
  <c r="C77" i="1"/>
  <c r="C131" i="1"/>
  <c r="C187" i="1"/>
  <c r="C241" i="1"/>
  <c r="C295" i="1"/>
  <c r="C351" i="1"/>
  <c r="C42" i="1"/>
  <c r="C78" i="1"/>
  <c r="C132" i="1"/>
  <c r="C206" i="1"/>
  <c r="C278" i="1"/>
  <c r="C334" i="1"/>
  <c r="C16" i="1"/>
  <c r="C34" i="1"/>
  <c r="C52" i="1"/>
  <c r="C70" i="1"/>
  <c r="C90" i="1"/>
  <c r="C108" i="1"/>
  <c r="C126" i="1"/>
  <c r="C144" i="1"/>
  <c r="C162" i="1"/>
  <c r="C180" i="1"/>
  <c r="C198" i="1"/>
  <c r="C218" i="1"/>
  <c r="C236" i="1"/>
  <c r="C254" i="1"/>
  <c r="C272" i="1"/>
  <c r="C290" i="1"/>
  <c r="C308" i="1"/>
  <c r="C326" i="1"/>
  <c r="C346" i="1"/>
  <c r="C364" i="1"/>
  <c r="C17" i="1"/>
  <c r="C35" i="1"/>
  <c r="C53" i="1"/>
  <c r="C71" i="1"/>
  <c r="C91" i="1"/>
  <c r="C109" i="1"/>
  <c r="C127" i="1"/>
  <c r="C145" i="1"/>
  <c r="C163" i="1"/>
  <c r="C181" i="1"/>
  <c r="C199" i="1"/>
  <c r="C219" i="1"/>
  <c r="C237" i="1"/>
  <c r="C255" i="1"/>
  <c r="C273" i="1"/>
  <c r="C291" i="1"/>
  <c r="C309" i="1"/>
  <c r="C327" i="1"/>
  <c r="C347" i="1"/>
  <c r="C365" i="1"/>
  <c r="C18" i="1"/>
  <c r="C74" i="1"/>
  <c r="C110" i="1"/>
  <c r="C146" i="1"/>
  <c r="C182" i="1"/>
  <c r="C220" i="1"/>
  <c r="C274" i="1"/>
  <c r="C310" i="1"/>
  <c r="C348" i="1"/>
  <c r="C19" i="1"/>
  <c r="C55" i="1"/>
  <c r="C93" i="1"/>
  <c r="C129" i="1"/>
  <c r="C183" i="1"/>
  <c r="C239" i="1"/>
  <c r="C275" i="1"/>
  <c r="C311" i="1"/>
  <c r="C349" i="1"/>
  <c r="C20" i="1"/>
  <c r="C76" i="1"/>
  <c r="C112" i="1"/>
  <c r="C148" i="1"/>
  <c r="C186" i="1"/>
  <c r="C222" i="1"/>
  <c r="C258" i="1"/>
  <c r="C294" i="1"/>
  <c r="C350" i="1"/>
  <c r="C59" i="1"/>
  <c r="C95" i="1"/>
  <c r="C149" i="1"/>
  <c r="C223" i="1"/>
  <c r="C277" i="1"/>
  <c r="C333" i="1"/>
  <c r="C22" i="1"/>
  <c r="C96" i="1"/>
  <c r="C188" i="1"/>
  <c r="C260" i="1"/>
  <c r="C352" i="1"/>
  <c r="C79" i="1"/>
  <c r="C115" i="1"/>
  <c r="C167" i="1"/>
  <c r="C150" i="1"/>
  <c r="C242" i="1"/>
  <c r="C316" i="1"/>
  <c r="C23" i="1"/>
  <c r="C97" i="1"/>
  <c r="C283" i="1"/>
  <c r="C189" i="1"/>
  <c r="C81" i="1"/>
  <c r="C322" i="1"/>
  <c r="C282" i="1"/>
  <c r="C228" i="1"/>
  <c r="C176" i="1"/>
  <c r="C134" i="1"/>
  <c r="C80" i="1"/>
  <c r="C26" i="1"/>
  <c r="C83" i="1"/>
  <c r="C29" i="1"/>
  <c r="C336" i="1"/>
  <c r="C284" i="1"/>
  <c r="C230" i="1"/>
  <c r="C190" i="1"/>
  <c r="C138" i="1"/>
  <c r="C82" i="1"/>
  <c r="C28" i="1"/>
  <c r="C335" i="1"/>
  <c r="C229" i="1"/>
  <c r="C135" i="1"/>
  <c r="C27" i="1"/>
  <c r="C321" i="1"/>
  <c r="C279" i="1"/>
  <c r="C227" i="1"/>
  <c r="C175" i="1"/>
  <c r="C133" i="1"/>
  <c r="C66" i="1"/>
  <c r="H7" i="1"/>
  <c r="D12" i="1"/>
  <c r="C12" i="1"/>
  <c r="E12" i="1" s="1"/>
  <c r="F12" i="1" s="1"/>
  <c r="B13" i="1" s="1"/>
  <c r="C361" i="1"/>
  <c r="C345" i="1"/>
  <c r="C329" i="1"/>
  <c r="C313" i="1"/>
  <c r="C297" i="1"/>
  <c r="C281" i="1"/>
  <c r="C265" i="1"/>
  <c r="C249" i="1"/>
  <c r="C233" i="1"/>
  <c r="C217" i="1"/>
  <c r="C201" i="1"/>
  <c r="C185" i="1"/>
  <c r="C169" i="1"/>
  <c r="C153" i="1"/>
  <c r="C137" i="1"/>
  <c r="C121" i="1"/>
  <c r="C105" i="1"/>
  <c r="C89" i="1"/>
  <c r="C73" i="1"/>
  <c r="C57" i="1"/>
  <c r="C41" i="1"/>
  <c r="C25" i="1"/>
  <c r="C360" i="1"/>
  <c r="C344" i="1"/>
  <c r="C328" i="1"/>
  <c r="C312" i="1"/>
  <c r="C296" i="1"/>
  <c r="C280" i="1"/>
  <c r="C264" i="1"/>
  <c r="C248" i="1"/>
  <c r="C232" i="1"/>
  <c r="C216" i="1"/>
  <c r="C200" i="1"/>
  <c r="C184" i="1"/>
  <c r="C168" i="1"/>
  <c r="C152" i="1"/>
  <c r="C136" i="1"/>
  <c r="C120" i="1"/>
  <c r="C104" i="1"/>
  <c r="C88" i="1"/>
  <c r="C72" i="1"/>
  <c r="C56" i="1"/>
  <c r="C40" i="1"/>
  <c r="H9" i="4" l="1"/>
  <c r="H11" i="4" s="1"/>
  <c r="H13" i="4" s="1"/>
  <c r="H14" i="4" s="1"/>
  <c r="I4" i="4"/>
  <c r="I8" i="4" s="1"/>
  <c r="L4" i="4"/>
  <c r="L2" i="4"/>
  <c r="E13" i="4"/>
  <c r="D13" i="1"/>
  <c r="E13" i="1" s="1"/>
  <c r="F13" i="1" s="1"/>
  <c r="B14" i="1" s="1"/>
  <c r="I9" i="4" l="1"/>
  <c r="I11" i="4" s="1"/>
  <c r="I13" i="4" s="1"/>
  <c r="I14" i="4" s="1"/>
  <c r="L3" i="4"/>
  <c r="E14" i="4"/>
  <c r="D14" i="1"/>
  <c r="E14" i="1" s="1"/>
  <c r="F14" i="1" s="1"/>
  <c r="B15" i="1" s="1"/>
  <c r="D15" i="1" l="1"/>
  <c r="E15" i="1"/>
  <c r="F15" i="1"/>
  <c r="B16" i="1" s="1"/>
  <c r="D16" i="1"/>
  <c r="E16" i="1"/>
  <c r="F16" i="1"/>
  <c r="B17" i="1" s="1"/>
  <c r="D17" i="1" l="1"/>
  <c r="E17" i="1" s="1"/>
  <c r="F17" i="1" s="1"/>
  <c r="B18" i="1" s="1"/>
  <c r="D18" i="1" l="1"/>
  <c r="E18" i="1"/>
  <c r="F18" i="1" s="1"/>
  <c r="B19" i="1" s="1"/>
  <c r="D19" i="1" l="1"/>
  <c r="E19" i="1" s="1"/>
  <c r="F19" i="1" s="1"/>
  <c r="B20" i="1" s="1"/>
  <c r="D20" i="1" l="1"/>
  <c r="E20" i="1"/>
  <c r="F20" i="1" s="1"/>
  <c r="B21" i="1" s="1"/>
  <c r="D21" i="1" l="1"/>
  <c r="E21" i="1" s="1"/>
  <c r="F21" i="1" s="1"/>
  <c r="B22" i="1" s="1"/>
  <c r="D22" i="1" l="1"/>
  <c r="E22" i="1"/>
  <c r="F22" i="1" s="1"/>
  <c r="B23" i="1" s="1"/>
  <c r="D23" i="1" l="1"/>
  <c r="E23" i="1" s="1"/>
  <c r="F23" i="1" s="1"/>
  <c r="B24" i="1" s="1"/>
  <c r="D24" i="1" l="1"/>
  <c r="E24" i="1"/>
  <c r="F24" i="1" s="1"/>
  <c r="B25" i="1" s="1"/>
  <c r="D25" i="1" l="1"/>
  <c r="E25" i="1" s="1"/>
  <c r="F25" i="1" s="1"/>
  <c r="B26" i="1" s="1"/>
  <c r="D26" i="1" l="1"/>
  <c r="E26" i="1"/>
  <c r="F26" i="1" s="1"/>
  <c r="B27" i="1" s="1"/>
  <c r="D27" i="1" l="1"/>
  <c r="E27" i="1" s="1"/>
  <c r="F27" i="1" s="1"/>
  <c r="B28" i="1" s="1"/>
  <c r="D28" i="1" l="1"/>
  <c r="E28" i="1" s="1"/>
  <c r="F28" i="1" s="1"/>
  <c r="B29" i="1" s="1"/>
  <c r="D29" i="1" l="1"/>
  <c r="E29" i="1" s="1"/>
  <c r="F29" i="1" s="1"/>
  <c r="B30" i="1" s="1"/>
  <c r="D30" i="1" l="1"/>
  <c r="E30" i="1" s="1"/>
  <c r="F30" i="1" s="1"/>
  <c r="B31" i="1" s="1"/>
  <c r="D31" i="1" l="1"/>
  <c r="E31" i="1" s="1"/>
  <c r="F31" i="1" s="1"/>
  <c r="B32" i="1" s="1"/>
  <c r="D32" i="1" l="1"/>
  <c r="E32" i="1" s="1"/>
  <c r="F32" i="1" s="1"/>
  <c r="B33" i="1" s="1"/>
  <c r="D33" i="1" l="1"/>
  <c r="E33" i="1" s="1"/>
  <c r="F33" i="1" s="1"/>
  <c r="B34" i="1" s="1"/>
  <c r="D34" i="1" l="1"/>
  <c r="E34" i="1" s="1"/>
  <c r="F34" i="1" s="1"/>
  <c r="B35" i="1" s="1"/>
  <c r="D35" i="1" l="1"/>
  <c r="E35" i="1" s="1"/>
  <c r="F35" i="1" s="1"/>
  <c r="B36" i="1" s="1"/>
  <c r="D36" i="1" l="1"/>
  <c r="E36" i="1"/>
  <c r="F36" i="1"/>
  <c r="B37" i="1" s="1"/>
  <c r="D37" i="1" l="1"/>
  <c r="E37" i="1" s="1"/>
  <c r="F37" i="1" s="1"/>
  <c r="B38" i="1" s="1"/>
  <c r="D38" i="1" l="1"/>
  <c r="E38" i="1"/>
  <c r="F38" i="1" s="1"/>
  <c r="B39" i="1" s="1"/>
  <c r="D39" i="1" l="1"/>
  <c r="E39" i="1"/>
  <c r="F39" i="1"/>
  <c r="B40" i="1" s="1"/>
  <c r="D40" i="1" l="1"/>
  <c r="E40" i="1"/>
  <c r="F40" i="1" s="1"/>
  <c r="B41" i="1" s="1"/>
  <c r="D41" i="1" l="1"/>
  <c r="E41" i="1"/>
  <c r="F41" i="1" s="1"/>
  <c r="B42" i="1" s="1"/>
  <c r="D42" i="1" l="1"/>
  <c r="E42" i="1" s="1"/>
  <c r="F42" i="1" s="1"/>
  <c r="B43" i="1" s="1"/>
  <c r="D43" i="1" l="1"/>
  <c r="E43" i="1" s="1"/>
  <c r="F43" i="1" s="1"/>
  <c r="B44" i="1" s="1"/>
  <c r="D44" i="1" l="1"/>
  <c r="E44" i="1"/>
  <c r="F44" i="1" s="1"/>
  <c r="B45" i="1" s="1"/>
  <c r="D45" i="1" l="1"/>
  <c r="E45" i="1"/>
  <c r="F45" i="1" s="1"/>
  <c r="B46" i="1" s="1"/>
  <c r="D46" i="1" l="1"/>
  <c r="E46" i="1" s="1"/>
  <c r="F46" i="1" s="1"/>
  <c r="B47" i="1" s="1"/>
  <c r="D47" i="1" l="1"/>
  <c r="E47" i="1" s="1"/>
  <c r="F47" i="1" s="1"/>
  <c r="B48" i="1" s="1"/>
  <c r="D48" i="1" l="1"/>
  <c r="E48" i="1" s="1"/>
  <c r="F48" i="1" s="1"/>
  <c r="B49" i="1" s="1"/>
  <c r="D49" i="1" l="1"/>
  <c r="E49" i="1" s="1"/>
  <c r="F49" i="1" s="1"/>
  <c r="B50" i="1" s="1"/>
  <c r="D50" i="1" l="1"/>
  <c r="E50" i="1"/>
  <c r="F50" i="1" s="1"/>
  <c r="B51" i="1" s="1"/>
  <c r="D51" i="1" l="1"/>
  <c r="E51" i="1" s="1"/>
  <c r="F51" i="1" s="1"/>
  <c r="B52" i="1" s="1"/>
  <c r="D52" i="1" l="1"/>
  <c r="E52" i="1"/>
  <c r="F52" i="1"/>
  <c r="B53" i="1" s="1"/>
  <c r="D53" i="1" l="1"/>
  <c r="E53" i="1" s="1"/>
  <c r="F53" i="1" s="1"/>
  <c r="B54" i="1" s="1"/>
  <c r="D54" i="1" l="1"/>
  <c r="E54" i="1" s="1"/>
  <c r="F54" i="1" s="1"/>
  <c r="B55" i="1" s="1"/>
  <c r="D55" i="1" l="1"/>
  <c r="E55" i="1"/>
  <c r="F55" i="1"/>
  <c r="B56" i="1" s="1"/>
  <c r="D56" i="1" l="1"/>
  <c r="E56" i="1"/>
  <c r="F56" i="1" s="1"/>
  <c r="B57" i="1" s="1"/>
  <c r="D57" i="1" l="1"/>
  <c r="E57" i="1"/>
  <c r="F57" i="1" s="1"/>
  <c r="B58" i="1" s="1"/>
  <c r="D58" i="1" l="1"/>
  <c r="E58" i="1" s="1"/>
  <c r="F58" i="1" s="1"/>
  <c r="B59" i="1" s="1"/>
  <c r="D59" i="1" l="1"/>
  <c r="E59" i="1" s="1"/>
  <c r="F59" i="1" s="1"/>
  <c r="B60" i="1" s="1"/>
  <c r="D60" i="1" l="1"/>
  <c r="E60" i="1"/>
  <c r="F60" i="1" s="1"/>
  <c r="B61" i="1" s="1"/>
  <c r="D61" i="1" l="1"/>
  <c r="E61" i="1"/>
  <c r="F61" i="1" s="1"/>
  <c r="B62" i="1" s="1"/>
  <c r="D62" i="1" l="1"/>
  <c r="E62" i="1"/>
  <c r="F62" i="1" s="1"/>
  <c r="B63" i="1" s="1"/>
  <c r="D63" i="1" l="1"/>
  <c r="E63" i="1"/>
  <c r="F63" i="1"/>
  <c r="B64" i="1" s="1"/>
  <c r="D64" i="1" l="1"/>
  <c r="E64" i="1"/>
  <c r="F64" i="1"/>
  <c r="B65" i="1" s="1"/>
  <c r="D65" i="1" l="1"/>
  <c r="E65" i="1"/>
  <c r="F65" i="1"/>
  <c r="B66" i="1" s="1"/>
  <c r="D66" i="1" l="1"/>
  <c r="E66" i="1" s="1"/>
  <c r="F66" i="1" s="1"/>
  <c r="B67" i="1" s="1"/>
  <c r="D67" i="1" l="1"/>
  <c r="E67" i="1" s="1"/>
  <c r="F67" i="1" s="1"/>
  <c r="B68" i="1" s="1"/>
  <c r="D68" i="1" l="1"/>
  <c r="E68" i="1" s="1"/>
  <c r="F68" i="1" s="1"/>
  <c r="B69" i="1" s="1"/>
  <c r="D69" i="1" l="1"/>
  <c r="E69" i="1" s="1"/>
  <c r="F69" i="1" s="1"/>
  <c r="B70" i="1" s="1"/>
  <c r="D70" i="1" l="1"/>
  <c r="E70" i="1"/>
  <c r="F70" i="1" s="1"/>
  <c r="B71" i="1" s="1"/>
  <c r="D71" i="1" l="1"/>
  <c r="E71" i="1"/>
  <c r="F71" i="1"/>
  <c r="B72" i="1" s="1"/>
  <c r="D72" i="1" l="1"/>
  <c r="E72" i="1"/>
  <c r="F72" i="1" s="1"/>
  <c r="B73" i="1" s="1"/>
  <c r="D73" i="1" l="1"/>
  <c r="E73" i="1" s="1"/>
  <c r="F73" i="1" s="1"/>
  <c r="B74" i="1" s="1"/>
  <c r="D74" i="1" l="1"/>
  <c r="E74" i="1" s="1"/>
  <c r="F74" i="1" s="1"/>
  <c r="B75" i="1" s="1"/>
  <c r="D75" i="1" l="1"/>
  <c r="E75" i="1"/>
  <c r="F75" i="1" s="1"/>
  <c r="B76" i="1" s="1"/>
  <c r="D76" i="1" l="1"/>
  <c r="E76" i="1"/>
  <c r="F76" i="1" s="1"/>
  <c r="B77" i="1" s="1"/>
  <c r="D77" i="1" l="1"/>
  <c r="E77" i="1"/>
  <c r="F77" i="1" s="1"/>
  <c r="B78" i="1" s="1"/>
  <c r="D78" i="1" l="1"/>
  <c r="E78" i="1"/>
  <c r="F78" i="1"/>
  <c r="B79" i="1" s="1"/>
  <c r="D79" i="1" l="1"/>
  <c r="E79" i="1" s="1"/>
  <c r="F79" i="1" s="1"/>
  <c r="B80" i="1" s="1"/>
  <c r="D80" i="1" l="1"/>
  <c r="E80" i="1"/>
  <c r="F80" i="1"/>
  <c r="B81" i="1" s="1"/>
  <c r="D81" i="1" l="1"/>
  <c r="E81" i="1"/>
  <c r="F81" i="1" s="1"/>
  <c r="B82" i="1" s="1"/>
  <c r="D82" i="1" l="1"/>
  <c r="E82" i="1"/>
  <c r="F82" i="1" s="1"/>
  <c r="B83" i="1" s="1"/>
  <c r="D83" i="1" l="1"/>
  <c r="E83" i="1" s="1"/>
  <c r="F83" i="1" s="1"/>
  <c r="B84" i="1" s="1"/>
  <c r="D84" i="1" l="1"/>
  <c r="E84" i="1"/>
  <c r="F84" i="1" s="1"/>
  <c r="B85" i="1" s="1"/>
  <c r="D85" i="1" l="1"/>
  <c r="E85" i="1" s="1"/>
  <c r="F85" i="1" s="1"/>
  <c r="B86" i="1" s="1"/>
  <c r="D86" i="1" l="1"/>
  <c r="E86" i="1" s="1"/>
  <c r="F86" i="1" s="1"/>
  <c r="B87" i="1" s="1"/>
  <c r="D87" i="1" l="1"/>
  <c r="E87" i="1" s="1"/>
  <c r="F87" i="1" s="1"/>
  <c r="B88" i="1" s="1"/>
  <c r="D88" i="1" l="1"/>
  <c r="E88" i="1"/>
  <c r="F88" i="1" s="1"/>
  <c r="B89" i="1" s="1"/>
  <c r="D89" i="1" l="1"/>
  <c r="E89" i="1"/>
  <c r="F89" i="1" s="1"/>
  <c r="B90" i="1" s="1"/>
  <c r="D90" i="1" l="1"/>
  <c r="E90" i="1" s="1"/>
  <c r="F90" i="1" s="1"/>
  <c r="B91" i="1" s="1"/>
  <c r="D91" i="1" l="1"/>
  <c r="E91" i="1" s="1"/>
  <c r="F91" i="1" s="1"/>
  <c r="B92" i="1" s="1"/>
  <c r="D92" i="1" l="1"/>
  <c r="E92" i="1"/>
  <c r="F92" i="1" s="1"/>
  <c r="B93" i="1" s="1"/>
  <c r="D93" i="1" l="1"/>
  <c r="E93" i="1"/>
  <c r="F93" i="1"/>
  <c r="B94" i="1" s="1"/>
  <c r="D94" i="1" l="1"/>
  <c r="E94" i="1" s="1"/>
  <c r="F94" i="1" s="1"/>
  <c r="B95" i="1" s="1"/>
  <c r="D95" i="1" l="1"/>
  <c r="E95" i="1"/>
  <c r="F95" i="1"/>
  <c r="B96" i="1" s="1"/>
  <c r="D96" i="1" l="1"/>
  <c r="E96" i="1"/>
  <c r="F96" i="1"/>
  <c r="B97" i="1" s="1"/>
  <c r="D97" i="1" l="1"/>
  <c r="E97" i="1" s="1"/>
  <c r="F97" i="1" s="1"/>
  <c r="B98" i="1" s="1"/>
  <c r="D98" i="1" l="1"/>
  <c r="E98" i="1"/>
  <c r="F98" i="1"/>
  <c r="B99" i="1" s="1"/>
  <c r="D99" i="1" l="1"/>
  <c r="E99" i="1" s="1"/>
  <c r="F99" i="1" s="1"/>
  <c r="B100" i="1" s="1"/>
  <c r="D100" i="1" l="1"/>
  <c r="E100" i="1"/>
  <c r="F100" i="1"/>
  <c r="B101" i="1" s="1"/>
  <c r="D101" i="1" l="1"/>
  <c r="E101" i="1" s="1"/>
  <c r="F101" i="1" s="1"/>
  <c r="B102" i="1" s="1"/>
  <c r="D102" i="1" l="1"/>
  <c r="E102" i="1" s="1"/>
  <c r="F102" i="1" s="1"/>
  <c r="B103" i="1" s="1"/>
  <c r="D103" i="1" l="1"/>
  <c r="E103" i="1" s="1"/>
  <c r="F103" i="1" s="1"/>
  <c r="B104" i="1" s="1"/>
  <c r="D104" i="1" l="1"/>
  <c r="E104" i="1" s="1"/>
  <c r="F104" i="1" s="1"/>
  <c r="B105" i="1" s="1"/>
  <c r="D105" i="1" l="1"/>
  <c r="E105" i="1" s="1"/>
  <c r="F105" i="1" s="1"/>
  <c r="B106" i="1" s="1"/>
  <c r="D106" i="1" l="1"/>
  <c r="E106" i="1"/>
  <c r="F106" i="1"/>
  <c r="B107" i="1" s="1"/>
  <c r="D107" i="1" l="1"/>
  <c r="E107" i="1" s="1"/>
  <c r="F107" i="1" s="1"/>
  <c r="B108" i="1" s="1"/>
  <c r="D108" i="1" l="1"/>
  <c r="E108" i="1" s="1"/>
  <c r="F108" i="1" s="1"/>
  <c r="B109" i="1" s="1"/>
  <c r="D109" i="1" l="1"/>
  <c r="E109" i="1" s="1"/>
  <c r="F109" i="1" s="1"/>
  <c r="B110" i="1" s="1"/>
  <c r="D110" i="1" l="1"/>
  <c r="E110" i="1" s="1"/>
  <c r="F110" i="1" s="1"/>
  <c r="B111" i="1" s="1"/>
  <c r="D111" i="1" l="1"/>
  <c r="E111" i="1" s="1"/>
  <c r="F111" i="1" s="1"/>
  <c r="B112" i="1" s="1"/>
  <c r="D112" i="1" l="1"/>
  <c r="E112" i="1" s="1"/>
  <c r="F112" i="1" s="1"/>
  <c r="B113" i="1" s="1"/>
  <c r="D113" i="1" l="1"/>
  <c r="E113" i="1"/>
  <c r="F113" i="1"/>
  <c r="B114" i="1" s="1"/>
  <c r="D114" i="1" l="1"/>
  <c r="E114" i="1" s="1"/>
  <c r="F114" i="1" s="1"/>
  <c r="B115" i="1" s="1"/>
  <c r="D115" i="1" l="1"/>
  <c r="E115" i="1" s="1"/>
  <c r="F115" i="1" s="1"/>
  <c r="B116" i="1" s="1"/>
  <c r="D116" i="1" l="1"/>
  <c r="E116" i="1" s="1"/>
  <c r="F116" i="1" s="1"/>
  <c r="B117" i="1" s="1"/>
  <c r="D117" i="1" l="1"/>
  <c r="E117" i="1" s="1"/>
  <c r="F117" i="1" s="1"/>
  <c r="B118" i="1" s="1"/>
  <c r="D118" i="1" l="1"/>
  <c r="E118" i="1" s="1"/>
  <c r="F118" i="1" s="1"/>
  <c r="B119" i="1" s="1"/>
  <c r="D119" i="1" l="1"/>
  <c r="E119" i="1" s="1"/>
  <c r="F119" i="1" s="1"/>
  <c r="B120" i="1" s="1"/>
  <c r="D120" i="1" l="1"/>
  <c r="E120" i="1" s="1"/>
  <c r="F120" i="1" s="1"/>
  <c r="B121" i="1" s="1"/>
  <c r="D121" i="1" l="1"/>
  <c r="E121" i="1" s="1"/>
  <c r="F121" i="1" s="1"/>
  <c r="B122" i="1" s="1"/>
  <c r="D122" i="1" l="1"/>
  <c r="E122" i="1" s="1"/>
  <c r="F122" i="1" s="1"/>
  <c r="B123" i="1" s="1"/>
  <c r="D123" i="1" l="1"/>
  <c r="E123" i="1" s="1"/>
  <c r="F123" i="1" s="1"/>
  <c r="B124" i="1" s="1"/>
  <c r="D124" i="1" l="1"/>
  <c r="E124" i="1" s="1"/>
  <c r="F124" i="1" s="1"/>
  <c r="B125" i="1" s="1"/>
  <c r="D125" i="1" l="1"/>
  <c r="E125" i="1" s="1"/>
  <c r="F125" i="1" s="1"/>
  <c r="B126" i="1" s="1"/>
  <c r="D126" i="1" l="1"/>
  <c r="E126" i="1" s="1"/>
  <c r="F126" i="1" s="1"/>
  <c r="B127" i="1" s="1"/>
  <c r="D127" i="1" l="1"/>
  <c r="E127" i="1" s="1"/>
  <c r="F127" i="1" s="1"/>
  <c r="B128" i="1" s="1"/>
  <c r="D128" i="1" l="1"/>
  <c r="E128" i="1"/>
  <c r="F128" i="1"/>
  <c r="B129" i="1" s="1"/>
  <c r="D129" i="1" l="1"/>
  <c r="E129" i="1" s="1"/>
  <c r="F129" i="1" s="1"/>
  <c r="B130" i="1" s="1"/>
  <c r="D130" i="1" l="1"/>
  <c r="E130" i="1"/>
  <c r="F130" i="1" s="1"/>
  <c r="B131" i="1" s="1"/>
  <c r="D131" i="1" l="1"/>
  <c r="E131" i="1" s="1"/>
  <c r="F131" i="1" s="1"/>
  <c r="B132" i="1" s="1"/>
  <c r="D132" i="1" l="1"/>
  <c r="E132" i="1" s="1"/>
  <c r="F132" i="1" s="1"/>
  <c r="B133" i="1" s="1"/>
  <c r="D133" i="1" l="1"/>
  <c r="E133" i="1" s="1"/>
  <c r="F133" i="1" s="1"/>
  <c r="B134" i="1" s="1"/>
  <c r="D134" i="1" l="1"/>
  <c r="E134" i="1" s="1"/>
  <c r="F134" i="1" s="1"/>
  <c r="B135" i="1" s="1"/>
  <c r="D135" i="1" l="1"/>
  <c r="E135" i="1" s="1"/>
  <c r="F135" i="1" s="1"/>
  <c r="B136" i="1" s="1"/>
  <c r="D136" i="1" l="1"/>
  <c r="E136" i="1" s="1"/>
  <c r="F136" i="1" s="1"/>
  <c r="B137" i="1" s="1"/>
  <c r="D137" i="1" l="1"/>
  <c r="E137" i="1"/>
  <c r="F137" i="1" s="1"/>
  <c r="B138" i="1" s="1"/>
  <c r="D138" i="1" l="1"/>
  <c r="E138" i="1" s="1"/>
  <c r="F138" i="1" s="1"/>
  <c r="B139" i="1" s="1"/>
  <c r="D139" i="1" l="1"/>
  <c r="E139" i="1" s="1"/>
  <c r="F139" i="1" s="1"/>
  <c r="B140" i="1" s="1"/>
  <c r="D140" i="1" l="1"/>
  <c r="E140" i="1" s="1"/>
  <c r="F140" i="1" s="1"/>
  <c r="B141" i="1" s="1"/>
  <c r="D141" i="1" l="1"/>
  <c r="E141" i="1"/>
  <c r="F141" i="1" s="1"/>
  <c r="B142" i="1" s="1"/>
  <c r="D142" i="1" l="1"/>
  <c r="E142" i="1" s="1"/>
  <c r="F142" i="1" s="1"/>
  <c r="B143" i="1" s="1"/>
  <c r="D143" i="1" l="1"/>
  <c r="E143" i="1" s="1"/>
  <c r="F143" i="1" s="1"/>
  <c r="B144" i="1" s="1"/>
  <c r="D144" i="1" l="1"/>
  <c r="E144" i="1" s="1"/>
  <c r="F144" i="1" s="1"/>
  <c r="B145" i="1" s="1"/>
  <c r="D145" i="1" l="1"/>
  <c r="E145" i="1" s="1"/>
  <c r="F145" i="1" s="1"/>
  <c r="B146" i="1" s="1"/>
  <c r="D146" i="1" l="1"/>
  <c r="E146" i="1" s="1"/>
  <c r="F146" i="1" s="1"/>
  <c r="B147" i="1" s="1"/>
  <c r="D147" i="1" l="1"/>
  <c r="E147" i="1" s="1"/>
  <c r="F147" i="1" s="1"/>
  <c r="B148" i="1" s="1"/>
  <c r="D148" i="1" l="1"/>
  <c r="E148" i="1" s="1"/>
  <c r="F148" i="1" s="1"/>
  <c r="B149" i="1" s="1"/>
  <c r="D149" i="1" l="1"/>
  <c r="E149" i="1" s="1"/>
  <c r="F149" i="1" s="1"/>
  <c r="B150" i="1" s="1"/>
  <c r="D150" i="1" l="1"/>
  <c r="E150" i="1"/>
  <c r="F150" i="1" s="1"/>
  <c r="B151" i="1" s="1"/>
  <c r="D151" i="1" l="1"/>
  <c r="E151" i="1" s="1"/>
  <c r="F151" i="1" s="1"/>
  <c r="B152" i="1" s="1"/>
  <c r="D152" i="1" l="1"/>
  <c r="E152" i="1" s="1"/>
  <c r="F152" i="1" s="1"/>
  <c r="B153" i="1" s="1"/>
  <c r="D153" i="1" l="1"/>
  <c r="E153" i="1"/>
  <c r="F153" i="1" s="1"/>
  <c r="B154" i="1" s="1"/>
  <c r="D154" i="1" l="1"/>
  <c r="E154" i="1"/>
  <c r="F154" i="1" s="1"/>
  <c r="B155" i="1" s="1"/>
  <c r="D155" i="1" l="1"/>
  <c r="E155" i="1" s="1"/>
  <c r="F155" i="1" s="1"/>
  <c r="B156" i="1" s="1"/>
  <c r="D156" i="1" l="1"/>
  <c r="E156" i="1"/>
  <c r="F156" i="1" s="1"/>
  <c r="B157" i="1" s="1"/>
  <c r="D157" i="1" l="1"/>
  <c r="E157" i="1"/>
  <c r="F157" i="1" s="1"/>
  <c r="B158" i="1" s="1"/>
  <c r="D158" i="1" l="1"/>
  <c r="E158" i="1" s="1"/>
  <c r="F158" i="1" s="1"/>
  <c r="B159" i="1" s="1"/>
  <c r="D159" i="1" l="1"/>
  <c r="E159" i="1"/>
  <c r="F159" i="1"/>
  <c r="B160" i="1" s="1"/>
  <c r="D160" i="1" l="1"/>
  <c r="E160" i="1"/>
  <c r="F160" i="1"/>
  <c r="B161" i="1" s="1"/>
  <c r="D161" i="1" l="1"/>
  <c r="E161" i="1"/>
  <c r="F161" i="1" s="1"/>
  <c r="B162" i="1" s="1"/>
  <c r="D162" i="1" l="1"/>
  <c r="E162" i="1"/>
  <c r="F162" i="1"/>
  <c r="B163" i="1" s="1"/>
  <c r="D163" i="1" l="1"/>
  <c r="E163" i="1" s="1"/>
  <c r="F163" i="1" s="1"/>
  <c r="B164" i="1" s="1"/>
  <c r="D164" i="1" l="1"/>
  <c r="E164" i="1"/>
  <c r="F164" i="1"/>
  <c r="B165" i="1" s="1"/>
  <c r="D165" i="1" l="1"/>
  <c r="E165" i="1" s="1"/>
  <c r="F165" i="1" s="1"/>
  <c r="B166" i="1" s="1"/>
  <c r="D166" i="1" l="1"/>
  <c r="E166" i="1"/>
  <c r="F166" i="1" s="1"/>
  <c r="B167" i="1" s="1"/>
  <c r="D167" i="1" l="1"/>
  <c r="E167" i="1"/>
  <c r="F167" i="1" s="1"/>
  <c r="B168" i="1" s="1"/>
  <c r="D168" i="1" l="1"/>
  <c r="E168" i="1"/>
  <c r="F168" i="1" s="1"/>
  <c r="B169" i="1" s="1"/>
  <c r="D169" i="1" l="1"/>
  <c r="E169" i="1"/>
  <c r="F169" i="1" s="1"/>
  <c r="B170" i="1" s="1"/>
  <c r="D170" i="1" l="1"/>
  <c r="E170" i="1"/>
  <c r="F170" i="1"/>
  <c r="B171" i="1" s="1"/>
  <c r="D171" i="1" l="1"/>
  <c r="E171" i="1"/>
  <c r="F171" i="1"/>
  <c r="B172" i="1" s="1"/>
  <c r="D172" i="1" l="1"/>
  <c r="E172" i="1" s="1"/>
  <c r="F172" i="1" s="1"/>
  <c r="B173" i="1" s="1"/>
  <c r="D173" i="1" l="1"/>
  <c r="E173" i="1" s="1"/>
  <c r="F173" i="1" s="1"/>
  <c r="B174" i="1" s="1"/>
  <c r="D174" i="1" l="1"/>
  <c r="E174" i="1" s="1"/>
  <c r="F174" i="1" s="1"/>
  <c r="B175" i="1" s="1"/>
  <c r="D175" i="1" l="1"/>
  <c r="E175" i="1"/>
  <c r="F175" i="1"/>
  <c r="B176" i="1" s="1"/>
  <c r="D176" i="1" l="1"/>
  <c r="E176" i="1"/>
  <c r="F176" i="1"/>
  <c r="B177" i="1" s="1"/>
  <c r="D177" i="1" l="1"/>
  <c r="E177" i="1"/>
  <c r="F177" i="1"/>
  <c r="B178" i="1" s="1"/>
  <c r="D178" i="1" l="1"/>
  <c r="E178" i="1" s="1"/>
  <c r="F178" i="1" s="1"/>
  <c r="B179" i="1" s="1"/>
  <c r="D179" i="1" l="1"/>
  <c r="E179" i="1" s="1"/>
  <c r="F179" i="1" s="1"/>
  <c r="B180" i="1" s="1"/>
  <c r="D180" i="1" l="1"/>
  <c r="E180" i="1"/>
  <c r="F180" i="1" s="1"/>
  <c r="B181" i="1" s="1"/>
  <c r="D181" i="1" l="1"/>
  <c r="E181" i="1" s="1"/>
  <c r="F181" i="1" s="1"/>
  <c r="B182" i="1" s="1"/>
  <c r="D182" i="1" l="1"/>
  <c r="E182" i="1"/>
  <c r="F182" i="1" s="1"/>
  <c r="B183" i="1" s="1"/>
  <c r="D183" i="1" l="1"/>
  <c r="E183" i="1" s="1"/>
  <c r="F183" i="1" s="1"/>
  <c r="B184" i="1" s="1"/>
  <c r="D184" i="1" l="1"/>
  <c r="E184" i="1"/>
  <c r="F184" i="1" s="1"/>
  <c r="B185" i="1" s="1"/>
  <c r="D185" i="1" l="1"/>
  <c r="E185" i="1"/>
  <c r="F185" i="1" s="1"/>
  <c r="B186" i="1" s="1"/>
  <c r="D186" i="1" l="1"/>
  <c r="E186" i="1" s="1"/>
  <c r="F186" i="1" s="1"/>
  <c r="B187" i="1" s="1"/>
  <c r="D187" i="1" l="1"/>
  <c r="E187" i="1" s="1"/>
  <c r="F187" i="1" s="1"/>
  <c r="B188" i="1" s="1"/>
  <c r="D188" i="1" l="1"/>
  <c r="E188" i="1" s="1"/>
  <c r="F188" i="1" s="1"/>
  <c r="B189" i="1" s="1"/>
  <c r="D189" i="1" l="1"/>
  <c r="E189" i="1" s="1"/>
  <c r="F189" i="1" s="1"/>
  <c r="B190" i="1" s="1"/>
  <c r="D190" i="1" l="1"/>
  <c r="E190" i="1"/>
  <c r="F190" i="1" s="1"/>
  <c r="B191" i="1" s="1"/>
  <c r="D191" i="1" l="1"/>
  <c r="E191" i="1" s="1"/>
  <c r="F191" i="1" s="1"/>
  <c r="B192" i="1" s="1"/>
  <c r="D192" i="1" l="1"/>
  <c r="E192" i="1" s="1"/>
  <c r="F192" i="1" s="1"/>
  <c r="B193" i="1" s="1"/>
  <c r="D193" i="1" l="1"/>
  <c r="E193" i="1" s="1"/>
  <c r="F193" i="1" s="1"/>
  <c r="B194" i="1" s="1"/>
  <c r="D194" i="1" l="1"/>
  <c r="E194" i="1" s="1"/>
  <c r="F194" i="1" s="1"/>
  <c r="B195" i="1" s="1"/>
  <c r="D195" i="1" l="1"/>
  <c r="E195" i="1" s="1"/>
  <c r="F195" i="1" s="1"/>
  <c r="B196" i="1" s="1"/>
  <c r="D196" i="1" l="1"/>
  <c r="E196" i="1" s="1"/>
  <c r="F196" i="1" s="1"/>
  <c r="B197" i="1" s="1"/>
  <c r="D197" i="1" l="1"/>
  <c r="E197" i="1" s="1"/>
  <c r="F197" i="1" s="1"/>
  <c r="B198" i="1" s="1"/>
  <c r="D198" i="1" l="1"/>
  <c r="E198" i="1" s="1"/>
  <c r="F198" i="1" s="1"/>
  <c r="B199" i="1" s="1"/>
  <c r="D199" i="1" l="1"/>
  <c r="E199" i="1"/>
  <c r="F199" i="1"/>
  <c r="B200" i="1" s="1"/>
  <c r="D200" i="1" l="1"/>
  <c r="E200" i="1"/>
  <c r="F200" i="1" s="1"/>
  <c r="B201" i="1" s="1"/>
  <c r="D201" i="1" l="1"/>
  <c r="E201" i="1"/>
  <c r="F201" i="1"/>
  <c r="B202" i="1" s="1"/>
  <c r="D202" i="1" l="1"/>
  <c r="E202" i="1"/>
  <c r="F202" i="1" s="1"/>
  <c r="B203" i="1" s="1"/>
  <c r="D203" i="1" l="1"/>
  <c r="E203" i="1"/>
  <c r="F203" i="1" s="1"/>
  <c r="B204" i="1" s="1"/>
  <c r="D204" i="1" l="1"/>
  <c r="E204" i="1" s="1"/>
  <c r="F204" i="1" s="1"/>
  <c r="B205" i="1" s="1"/>
  <c r="D205" i="1" l="1"/>
  <c r="E205" i="1"/>
  <c r="F205" i="1"/>
  <c r="B206" i="1" s="1"/>
  <c r="D206" i="1" l="1"/>
  <c r="E206" i="1"/>
  <c r="F206" i="1"/>
  <c r="B207" i="1" s="1"/>
  <c r="D207" i="1" l="1"/>
  <c r="E207" i="1"/>
  <c r="F207" i="1"/>
  <c r="B208" i="1" s="1"/>
  <c r="D208" i="1" l="1"/>
  <c r="E208" i="1"/>
  <c r="F208" i="1"/>
  <c r="B209" i="1" s="1"/>
  <c r="D209" i="1" l="1"/>
  <c r="E209" i="1"/>
  <c r="F209" i="1"/>
  <c r="B210" i="1" s="1"/>
  <c r="D210" i="1" l="1"/>
  <c r="E210" i="1"/>
  <c r="F210" i="1"/>
  <c r="B211" i="1" s="1"/>
  <c r="D211" i="1" l="1"/>
  <c r="E211" i="1" s="1"/>
  <c r="F211" i="1" s="1"/>
  <c r="B212" i="1" s="1"/>
  <c r="D212" i="1" l="1"/>
  <c r="E212" i="1"/>
  <c r="F212" i="1"/>
  <c r="B213" i="1" s="1"/>
  <c r="D213" i="1" l="1"/>
  <c r="E213" i="1" s="1"/>
  <c r="F213" i="1" s="1"/>
  <c r="B214" i="1" s="1"/>
  <c r="D214" i="1" l="1"/>
  <c r="E214" i="1" s="1"/>
  <c r="F214" i="1" s="1"/>
  <c r="B215" i="1" s="1"/>
  <c r="D215" i="1" l="1"/>
  <c r="E215" i="1"/>
  <c r="F215" i="1"/>
  <c r="B216" i="1" s="1"/>
  <c r="D216" i="1" l="1"/>
  <c r="E216" i="1" s="1"/>
  <c r="F216" i="1" s="1"/>
  <c r="B217" i="1" s="1"/>
  <c r="D217" i="1" l="1"/>
  <c r="E217" i="1" s="1"/>
  <c r="F217" i="1" s="1"/>
  <c r="B218" i="1" s="1"/>
  <c r="D218" i="1" l="1"/>
  <c r="E218" i="1" s="1"/>
  <c r="F218" i="1" s="1"/>
  <c r="B219" i="1" s="1"/>
  <c r="D219" i="1" l="1"/>
  <c r="E219" i="1" s="1"/>
  <c r="F219" i="1" s="1"/>
  <c r="B220" i="1" s="1"/>
  <c r="D220" i="1" l="1"/>
  <c r="E220" i="1"/>
  <c r="F220" i="1" s="1"/>
  <c r="B221" i="1" s="1"/>
  <c r="D221" i="1" l="1"/>
  <c r="E221" i="1"/>
  <c r="F221" i="1" s="1"/>
  <c r="B222" i="1" s="1"/>
  <c r="D222" i="1" l="1"/>
  <c r="E222" i="1" s="1"/>
  <c r="F222" i="1" s="1"/>
  <c r="B223" i="1" s="1"/>
  <c r="D223" i="1" l="1"/>
  <c r="E223" i="1"/>
  <c r="F223" i="1"/>
  <c r="B224" i="1" s="1"/>
  <c r="D224" i="1" l="1"/>
  <c r="E224" i="1"/>
  <c r="F224" i="1"/>
  <c r="B225" i="1" s="1"/>
  <c r="D225" i="1" l="1"/>
  <c r="E225" i="1" s="1"/>
  <c r="F225" i="1" s="1"/>
  <c r="B226" i="1" s="1"/>
  <c r="D226" i="1" l="1"/>
  <c r="E226" i="1"/>
  <c r="F226" i="1"/>
  <c r="B227" i="1" s="1"/>
  <c r="D227" i="1" l="1"/>
  <c r="E227" i="1" s="1"/>
  <c r="F227" i="1" s="1"/>
  <c r="B228" i="1" s="1"/>
  <c r="D228" i="1" l="1"/>
  <c r="E228" i="1" s="1"/>
  <c r="F228" i="1" s="1"/>
  <c r="B229" i="1" s="1"/>
  <c r="D229" i="1" l="1"/>
  <c r="E229" i="1" s="1"/>
  <c r="F229" i="1" s="1"/>
  <c r="B230" i="1" s="1"/>
  <c r="D230" i="1" l="1"/>
  <c r="E230" i="1" s="1"/>
  <c r="F230" i="1" s="1"/>
  <c r="B231" i="1" s="1"/>
  <c r="D231" i="1" l="1"/>
  <c r="E231" i="1"/>
  <c r="F231" i="1"/>
  <c r="B232" i="1" s="1"/>
  <c r="D232" i="1" l="1"/>
  <c r="E232" i="1" s="1"/>
  <c r="F232" i="1" s="1"/>
  <c r="B233" i="1" s="1"/>
  <c r="D233" i="1" l="1"/>
  <c r="E233" i="1"/>
  <c r="F233" i="1"/>
  <c r="B234" i="1" s="1"/>
  <c r="D234" i="1" l="1"/>
  <c r="E234" i="1" s="1"/>
  <c r="F234" i="1" s="1"/>
  <c r="B235" i="1" s="1"/>
  <c r="D235" i="1" l="1"/>
  <c r="E235" i="1" s="1"/>
  <c r="F235" i="1" s="1"/>
  <c r="B236" i="1" s="1"/>
  <c r="D236" i="1" l="1"/>
  <c r="E236" i="1"/>
  <c r="F236" i="1"/>
  <c r="B237" i="1" s="1"/>
  <c r="D237" i="1" l="1"/>
  <c r="E237" i="1"/>
  <c r="F237" i="1" s="1"/>
  <c r="B238" i="1" s="1"/>
  <c r="D238" i="1" l="1"/>
  <c r="E238" i="1" s="1"/>
  <c r="F238" i="1" s="1"/>
  <c r="B239" i="1" s="1"/>
  <c r="D239" i="1" l="1"/>
  <c r="E239" i="1"/>
  <c r="F239" i="1" s="1"/>
  <c r="B240" i="1" s="1"/>
  <c r="D240" i="1" l="1"/>
  <c r="E240" i="1"/>
  <c r="F240" i="1"/>
  <c r="B241" i="1" s="1"/>
  <c r="D241" i="1" l="1"/>
  <c r="E241" i="1"/>
  <c r="F241" i="1"/>
  <c r="B242" i="1" s="1"/>
  <c r="D242" i="1" l="1"/>
  <c r="E242" i="1"/>
  <c r="F242" i="1"/>
  <c r="B243" i="1" s="1"/>
  <c r="D243" i="1" l="1"/>
  <c r="E243" i="1" s="1"/>
  <c r="F243" i="1" s="1"/>
  <c r="B244" i="1" s="1"/>
  <c r="D244" i="1" l="1"/>
  <c r="E244" i="1"/>
  <c r="F244" i="1" s="1"/>
  <c r="B245" i="1" s="1"/>
  <c r="D245" i="1" l="1"/>
  <c r="E245" i="1" s="1"/>
  <c r="F245" i="1" s="1"/>
  <c r="B246" i="1" s="1"/>
  <c r="D246" i="1" l="1"/>
  <c r="E246" i="1"/>
  <c r="F246" i="1" s="1"/>
  <c r="B247" i="1" s="1"/>
  <c r="D247" i="1" l="1"/>
  <c r="E247" i="1" s="1"/>
  <c r="F247" i="1" s="1"/>
  <c r="B248" i="1" s="1"/>
  <c r="D248" i="1" l="1"/>
  <c r="E248" i="1" s="1"/>
  <c r="F248" i="1" s="1"/>
  <c r="B249" i="1" s="1"/>
  <c r="D249" i="1" l="1"/>
  <c r="E249" i="1" s="1"/>
  <c r="F249" i="1" s="1"/>
  <c r="B250" i="1" s="1"/>
  <c r="D250" i="1" l="1"/>
  <c r="E250" i="1" s="1"/>
  <c r="F250" i="1" s="1"/>
  <c r="B251" i="1" s="1"/>
  <c r="D251" i="1" l="1"/>
  <c r="E251" i="1" s="1"/>
  <c r="F251" i="1" s="1"/>
  <c r="B252" i="1" s="1"/>
  <c r="D252" i="1" l="1"/>
  <c r="E252" i="1" s="1"/>
  <c r="F252" i="1" s="1"/>
  <c r="B253" i="1" s="1"/>
  <c r="D253" i="1" l="1"/>
  <c r="E253" i="1" s="1"/>
  <c r="F253" i="1" s="1"/>
  <c r="B254" i="1" s="1"/>
  <c r="D254" i="1" l="1"/>
  <c r="E254" i="1" s="1"/>
  <c r="F254" i="1" s="1"/>
  <c r="B255" i="1" s="1"/>
  <c r="D255" i="1" l="1"/>
  <c r="E255" i="1"/>
  <c r="F255" i="1" s="1"/>
  <c r="B256" i="1" s="1"/>
  <c r="D256" i="1" l="1"/>
  <c r="E256" i="1"/>
  <c r="F256" i="1"/>
  <c r="B257" i="1" s="1"/>
  <c r="D257" i="1" l="1"/>
  <c r="E257" i="1"/>
  <c r="F257" i="1" s="1"/>
  <c r="B258" i="1" s="1"/>
  <c r="D258" i="1" l="1"/>
  <c r="E258" i="1"/>
  <c r="F258" i="1"/>
  <c r="B259" i="1" s="1"/>
  <c r="D259" i="1" l="1"/>
  <c r="E259" i="1" s="1"/>
  <c r="F259" i="1" s="1"/>
  <c r="B260" i="1" s="1"/>
  <c r="D260" i="1" l="1"/>
  <c r="E260" i="1" s="1"/>
  <c r="F260" i="1" s="1"/>
  <c r="B261" i="1" s="1"/>
  <c r="D261" i="1" l="1"/>
  <c r="E261" i="1" s="1"/>
  <c r="F261" i="1" s="1"/>
  <c r="B262" i="1" s="1"/>
  <c r="D262" i="1" l="1"/>
  <c r="E262" i="1"/>
  <c r="F262" i="1" s="1"/>
  <c r="B263" i="1" s="1"/>
  <c r="D263" i="1" l="1"/>
  <c r="E263" i="1" s="1"/>
  <c r="F263" i="1" s="1"/>
  <c r="B264" i="1" s="1"/>
  <c r="D264" i="1" l="1"/>
  <c r="E264" i="1" s="1"/>
  <c r="F264" i="1" s="1"/>
  <c r="B265" i="1" s="1"/>
  <c r="D265" i="1" l="1"/>
  <c r="E265" i="1" s="1"/>
  <c r="F265" i="1" s="1"/>
  <c r="B266" i="1" s="1"/>
  <c r="D266" i="1" l="1"/>
  <c r="E266" i="1"/>
  <c r="F266" i="1" s="1"/>
  <c r="B267" i="1" s="1"/>
  <c r="D267" i="1" l="1"/>
  <c r="E267" i="1" s="1"/>
  <c r="F267" i="1" s="1"/>
  <c r="B268" i="1" s="1"/>
  <c r="D268" i="1" l="1"/>
  <c r="E268" i="1" s="1"/>
  <c r="F268" i="1" s="1"/>
  <c r="B269" i="1" s="1"/>
  <c r="D269" i="1" l="1"/>
  <c r="E269" i="1"/>
  <c r="F269" i="1"/>
  <c r="B270" i="1" s="1"/>
  <c r="D270" i="1" l="1"/>
  <c r="E270" i="1"/>
  <c r="F270" i="1"/>
  <c r="B271" i="1" s="1"/>
  <c r="D271" i="1" l="1"/>
  <c r="E271" i="1" s="1"/>
  <c r="F271" i="1" s="1"/>
  <c r="B272" i="1" s="1"/>
  <c r="D272" i="1" l="1"/>
  <c r="E272" i="1"/>
  <c r="F272" i="1" s="1"/>
  <c r="B273" i="1" s="1"/>
  <c r="D273" i="1" l="1"/>
  <c r="E273" i="1" s="1"/>
  <c r="F273" i="1" s="1"/>
  <c r="B274" i="1" s="1"/>
  <c r="D274" i="1" l="1"/>
  <c r="E274" i="1" s="1"/>
  <c r="F274" i="1" s="1"/>
  <c r="B275" i="1" s="1"/>
  <c r="D275" i="1" l="1"/>
  <c r="E275" i="1" s="1"/>
  <c r="F275" i="1" s="1"/>
  <c r="B276" i="1" s="1"/>
  <c r="D276" i="1" l="1"/>
  <c r="E276" i="1"/>
  <c r="F276" i="1"/>
  <c r="B277" i="1" s="1"/>
  <c r="D277" i="1" l="1"/>
  <c r="E277" i="1" s="1"/>
  <c r="F277" i="1" s="1"/>
  <c r="B278" i="1" s="1"/>
  <c r="D278" i="1" l="1"/>
  <c r="E278" i="1"/>
  <c r="F278" i="1" s="1"/>
  <c r="B279" i="1" s="1"/>
  <c r="D279" i="1" l="1"/>
  <c r="E279" i="1"/>
  <c r="F279" i="1"/>
  <c r="B280" i="1" s="1"/>
  <c r="D280" i="1" l="1"/>
  <c r="E280" i="1" s="1"/>
  <c r="F280" i="1" s="1"/>
  <c r="B281" i="1" s="1"/>
  <c r="D281" i="1" l="1"/>
  <c r="E281" i="1"/>
  <c r="F281" i="1" s="1"/>
  <c r="B282" i="1" s="1"/>
  <c r="D282" i="1" l="1"/>
  <c r="E282" i="1" s="1"/>
  <c r="F282" i="1" s="1"/>
  <c r="B283" i="1" s="1"/>
  <c r="D283" i="1" l="1"/>
  <c r="E283" i="1" s="1"/>
  <c r="F283" i="1" s="1"/>
  <c r="B284" i="1" s="1"/>
  <c r="D284" i="1" l="1"/>
  <c r="E284" i="1" s="1"/>
  <c r="F284" i="1" s="1"/>
  <c r="B285" i="1" s="1"/>
  <c r="D285" i="1" l="1"/>
  <c r="E285" i="1"/>
  <c r="F285" i="1"/>
  <c r="B286" i="1" s="1"/>
  <c r="D286" i="1" l="1"/>
  <c r="E286" i="1" s="1"/>
  <c r="F286" i="1" s="1"/>
  <c r="B287" i="1" s="1"/>
  <c r="D287" i="1" l="1"/>
  <c r="E287" i="1"/>
  <c r="F287" i="1" s="1"/>
  <c r="B288" i="1" s="1"/>
  <c r="D288" i="1" l="1"/>
  <c r="E288" i="1"/>
  <c r="F288" i="1" s="1"/>
  <c r="B289" i="1" s="1"/>
  <c r="D289" i="1" l="1"/>
  <c r="E289" i="1" s="1"/>
  <c r="F289" i="1" s="1"/>
  <c r="B290" i="1" s="1"/>
  <c r="D290" i="1" l="1"/>
  <c r="E290" i="1"/>
  <c r="F290" i="1"/>
  <c r="B291" i="1" s="1"/>
  <c r="D291" i="1" l="1"/>
  <c r="E291" i="1" s="1"/>
  <c r="F291" i="1" s="1"/>
  <c r="B292" i="1" s="1"/>
  <c r="D292" i="1" l="1"/>
  <c r="E292" i="1" s="1"/>
  <c r="F292" i="1" s="1"/>
  <c r="B293" i="1" s="1"/>
  <c r="D293" i="1" l="1"/>
  <c r="E293" i="1" s="1"/>
  <c r="F293" i="1" s="1"/>
  <c r="B294" i="1" s="1"/>
  <c r="D294" i="1" l="1"/>
  <c r="E294" i="1"/>
  <c r="F294" i="1" s="1"/>
  <c r="B295" i="1" s="1"/>
  <c r="D295" i="1" l="1"/>
  <c r="E295" i="1" s="1"/>
  <c r="F295" i="1" s="1"/>
  <c r="B296" i="1" s="1"/>
  <c r="D296" i="1" l="1"/>
  <c r="E296" i="1" s="1"/>
  <c r="F296" i="1" s="1"/>
  <c r="B297" i="1" s="1"/>
  <c r="D297" i="1" l="1"/>
  <c r="E297" i="1"/>
  <c r="F297" i="1" s="1"/>
  <c r="B298" i="1" s="1"/>
  <c r="D298" i="1" l="1"/>
  <c r="E298" i="1" s="1"/>
  <c r="F298" i="1" s="1"/>
  <c r="B299" i="1" s="1"/>
  <c r="D299" i="1" l="1"/>
  <c r="E299" i="1"/>
  <c r="F299" i="1" s="1"/>
  <c r="B300" i="1" s="1"/>
  <c r="D300" i="1" l="1"/>
  <c r="E300" i="1"/>
  <c r="F300" i="1"/>
  <c r="B301" i="1" s="1"/>
  <c r="D301" i="1" l="1"/>
  <c r="E301" i="1"/>
  <c r="F301" i="1" s="1"/>
  <c r="B302" i="1" s="1"/>
  <c r="D302" i="1" l="1"/>
  <c r="E302" i="1" s="1"/>
  <c r="F302" i="1" s="1"/>
  <c r="B303" i="1" s="1"/>
  <c r="D303" i="1" l="1"/>
  <c r="E303" i="1"/>
  <c r="F303" i="1"/>
  <c r="B304" i="1" s="1"/>
  <c r="D304" i="1" l="1"/>
  <c r="E304" i="1" s="1"/>
  <c r="F304" i="1" s="1"/>
  <c r="B305" i="1" s="1"/>
  <c r="D305" i="1" l="1"/>
  <c r="E305" i="1"/>
  <c r="F305" i="1" s="1"/>
  <c r="B306" i="1" s="1"/>
  <c r="D306" i="1" l="1"/>
  <c r="E306" i="1" s="1"/>
  <c r="F306" i="1" s="1"/>
  <c r="B307" i="1" s="1"/>
  <c r="D307" i="1" l="1"/>
  <c r="E307" i="1"/>
  <c r="F307" i="1" s="1"/>
  <c r="B308" i="1" s="1"/>
  <c r="D308" i="1" l="1"/>
  <c r="E308" i="1" s="1"/>
  <c r="F308" i="1" s="1"/>
  <c r="B309" i="1" s="1"/>
  <c r="D309" i="1" l="1"/>
  <c r="E309" i="1" s="1"/>
  <c r="F309" i="1" s="1"/>
  <c r="B310" i="1" s="1"/>
  <c r="D310" i="1" l="1"/>
  <c r="E310" i="1"/>
  <c r="F310" i="1"/>
  <c r="B311" i="1" s="1"/>
  <c r="D311" i="1" l="1"/>
  <c r="E311" i="1" s="1"/>
  <c r="F311" i="1" s="1"/>
  <c r="B312" i="1" s="1"/>
  <c r="D312" i="1" l="1"/>
  <c r="E312" i="1"/>
  <c r="F312" i="1" s="1"/>
  <c r="B313" i="1" s="1"/>
  <c r="D313" i="1" l="1"/>
  <c r="E313" i="1" s="1"/>
  <c r="F313" i="1" s="1"/>
  <c r="B314" i="1" s="1"/>
  <c r="D314" i="1" l="1"/>
  <c r="E314" i="1"/>
  <c r="F314" i="1"/>
  <c r="B315" i="1" s="1"/>
  <c r="D315" i="1" l="1"/>
  <c r="E315" i="1" s="1"/>
  <c r="F315" i="1" s="1"/>
  <c r="B316" i="1" s="1"/>
  <c r="D316" i="1" l="1"/>
  <c r="E316" i="1"/>
  <c r="F316" i="1"/>
  <c r="B317" i="1" s="1"/>
  <c r="D317" i="1" l="1"/>
  <c r="E317" i="1"/>
  <c r="F317" i="1" s="1"/>
  <c r="B318" i="1" s="1"/>
  <c r="D318" i="1" l="1"/>
  <c r="E318" i="1" s="1"/>
  <c r="F318" i="1" s="1"/>
  <c r="B319" i="1" s="1"/>
  <c r="D319" i="1" l="1"/>
  <c r="E319" i="1" s="1"/>
  <c r="F319" i="1" s="1"/>
  <c r="B320" i="1" s="1"/>
  <c r="D320" i="1" l="1"/>
  <c r="E320" i="1" s="1"/>
  <c r="F320" i="1" s="1"/>
  <c r="B321" i="1" s="1"/>
  <c r="D321" i="1" l="1"/>
  <c r="E321" i="1"/>
  <c r="F321" i="1" s="1"/>
  <c r="B322" i="1" s="1"/>
  <c r="D322" i="1" l="1"/>
  <c r="E322" i="1"/>
  <c r="F322" i="1"/>
  <c r="B323" i="1" s="1"/>
  <c r="D323" i="1" l="1"/>
  <c r="E323" i="1" s="1"/>
  <c r="F323" i="1" s="1"/>
  <c r="B324" i="1" s="1"/>
  <c r="D324" i="1" l="1"/>
  <c r="E324" i="1" s="1"/>
  <c r="F324" i="1" s="1"/>
  <c r="B325" i="1" s="1"/>
  <c r="D325" i="1" l="1"/>
  <c r="E325" i="1" s="1"/>
  <c r="F325" i="1" s="1"/>
  <c r="B326" i="1" s="1"/>
  <c r="D326" i="1" l="1"/>
  <c r="E326" i="1" s="1"/>
  <c r="F326" i="1" s="1"/>
  <c r="B327" i="1" s="1"/>
  <c r="D327" i="1" l="1"/>
  <c r="E327" i="1"/>
  <c r="F327" i="1"/>
  <c r="B328" i="1" s="1"/>
  <c r="D328" i="1" l="1"/>
  <c r="E328" i="1"/>
  <c r="F328" i="1" s="1"/>
  <c r="B329" i="1" s="1"/>
  <c r="D329" i="1" l="1"/>
  <c r="E329" i="1" s="1"/>
  <c r="F329" i="1" s="1"/>
  <c r="B330" i="1" s="1"/>
  <c r="D330" i="1" l="1"/>
  <c r="E330" i="1" s="1"/>
  <c r="F330" i="1" s="1"/>
  <c r="B331" i="1" s="1"/>
  <c r="D331" i="1" l="1"/>
  <c r="E331" i="1"/>
  <c r="F331" i="1" s="1"/>
  <c r="B332" i="1" s="1"/>
  <c r="D332" i="1" l="1"/>
  <c r="E332" i="1" s="1"/>
  <c r="F332" i="1" s="1"/>
  <c r="B333" i="1" s="1"/>
  <c r="D333" i="1" l="1"/>
  <c r="E333" i="1"/>
  <c r="F333" i="1"/>
  <c r="B334" i="1" s="1"/>
  <c r="D334" i="1" l="1"/>
  <c r="E334" i="1" s="1"/>
  <c r="F334" i="1" s="1"/>
  <c r="B335" i="1" s="1"/>
  <c r="D335" i="1" l="1"/>
  <c r="E335" i="1" s="1"/>
  <c r="F335" i="1" s="1"/>
  <c r="B336" i="1" s="1"/>
  <c r="D336" i="1" l="1"/>
  <c r="E336" i="1" s="1"/>
  <c r="F336" i="1" s="1"/>
  <c r="B337" i="1" s="1"/>
  <c r="D337" i="1" l="1"/>
  <c r="E337" i="1"/>
  <c r="F337" i="1" s="1"/>
  <c r="B338" i="1" s="1"/>
  <c r="D338" i="1" l="1"/>
  <c r="E338" i="1"/>
  <c r="F338" i="1" s="1"/>
  <c r="B339" i="1" s="1"/>
  <c r="D339" i="1" l="1"/>
  <c r="E339" i="1"/>
  <c r="F339" i="1" s="1"/>
  <c r="B340" i="1" s="1"/>
  <c r="D340" i="1" l="1"/>
  <c r="E340" i="1" s="1"/>
  <c r="F340" i="1" s="1"/>
  <c r="B341" i="1" s="1"/>
  <c r="D341" i="1" l="1"/>
  <c r="E341" i="1"/>
  <c r="F341" i="1"/>
  <c r="B342" i="1" s="1"/>
  <c r="D342" i="1" l="1"/>
  <c r="E342" i="1"/>
  <c r="F342" i="1"/>
  <c r="B343" i="1" s="1"/>
  <c r="D343" i="1" l="1"/>
  <c r="E343" i="1" s="1"/>
  <c r="F343" i="1" s="1"/>
  <c r="B344" i="1" s="1"/>
  <c r="D344" i="1" l="1"/>
  <c r="E344" i="1" s="1"/>
  <c r="F344" i="1" s="1"/>
  <c r="B345" i="1" s="1"/>
  <c r="D345" i="1" l="1"/>
  <c r="E345" i="1" s="1"/>
  <c r="F345" i="1" s="1"/>
  <c r="B346" i="1" s="1"/>
  <c r="D346" i="1" l="1"/>
  <c r="E346" i="1" s="1"/>
  <c r="F346" i="1" s="1"/>
  <c r="B347" i="1" s="1"/>
  <c r="D347" i="1" l="1"/>
  <c r="E347" i="1" s="1"/>
  <c r="F347" i="1" s="1"/>
  <c r="B348" i="1" s="1"/>
  <c r="D348" i="1" l="1"/>
  <c r="E348" i="1" s="1"/>
  <c r="F348" i="1" s="1"/>
  <c r="B349" i="1" s="1"/>
  <c r="D349" i="1" l="1"/>
  <c r="E349" i="1"/>
  <c r="F349" i="1" s="1"/>
  <c r="B350" i="1" s="1"/>
  <c r="D350" i="1" l="1"/>
  <c r="E350" i="1"/>
  <c r="F350" i="1" s="1"/>
  <c r="B351" i="1" s="1"/>
  <c r="D351" i="1" l="1"/>
  <c r="E351" i="1"/>
  <c r="F351" i="1" s="1"/>
  <c r="B352" i="1" s="1"/>
  <c r="D352" i="1" l="1"/>
  <c r="E352" i="1" s="1"/>
  <c r="F352" i="1" s="1"/>
  <c r="B353" i="1" s="1"/>
  <c r="D353" i="1" l="1"/>
  <c r="E353" i="1"/>
  <c r="F353" i="1" s="1"/>
  <c r="B354" i="1" s="1"/>
  <c r="D354" i="1" l="1"/>
  <c r="E354" i="1" s="1"/>
  <c r="F354" i="1" s="1"/>
  <c r="B355" i="1" s="1"/>
  <c r="D355" i="1" l="1"/>
  <c r="E355" i="1"/>
  <c r="F355" i="1" s="1"/>
  <c r="B356" i="1" s="1"/>
  <c r="D356" i="1" l="1"/>
  <c r="E356" i="1" s="1"/>
  <c r="F356" i="1" s="1"/>
  <c r="B357" i="1" s="1"/>
  <c r="D357" i="1" l="1"/>
  <c r="E357" i="1"/>
  <c r="F357" i="1"/>
  <c r="B358" i="1" s="1"/>
  <c r="D358" i="1" l="1"/>
  <c r="E358" i="1" s="1"/>
  <c r="F358" i="1" s="1"/>
  <c r="B359" i="1" s="1"/>
  <c r="D359" i="1" l="1"/>
  <c r="E359" i="1" s="1"/>
  <c r="F359" i="1" s="1"/>
  <c r="B360" i="1" s="1"/>
  <c r="D360" i="1" l="1"/>
  <c r="E360" i="1"/>
  <c r="F360" i="1" s="1"/>
  <c r="B361" i="1" s="1"/>
  <c r="D361" i="1" l="1"/>
  <c r="E361" i="1" s="1"/>
  <c r="F361" i="1" s="1"/>
  <c r="B362" i="1" s="1"/>
  <c r="D362" i="1" l="1"/>
  <c r="E362" i="1" s="1"/>
  <c r="F362" i="1" s="1"/>
  <c r="B363" i="1" s="1"/>
  <c r="D363" i="1" l="1"/>
  <c r="E363" i="1" s="1"/>
  <c r="F363" i="1" s="1"/>
  <c r="B364" i="1" s="1"/>
  <c r="D364" i="1" l="1"/>
  <c r="E364" i="1"/>
  <c r="F364" i="1"/>
  <c r="B365" i="1" s="1"/>
  <c r="D365" i="1" l="1"/>
  <c r="E365" i="1" s="1"/>
  <c r="F365" i="1" s="1"/>
  <c r="B366" i="1" s="1"/>
  <c r="D366" i="1" l="1"/>
  <c r="E366" i="1" s="1"/>
  <c r="F366" i="1" s="1"/>
  <c r="B367" i="1" s="1"/>
  <c r="D367" i="1" l="1"/>
  <c r="E367" i="1" s="1"/>
  <c r="F367" i="1" s="1"/>
  <c r="B368" i="1" s="1"/>
  <c r="D368" i="1" l="1"/>
  <c r="E368" i="1"/>
  <c r="F368" i="1"/>
  <c r="B369" i="1" s="1"/>
  <c r="D369" i="1" l="1"/>
  <c r="E369" i="1"/>
  <c r="F369" i="1" s="1"/>
  <c r="B370" i="1" s="1"/>
  <c r="D370" i="1" l="1"/>
  <c r="E370" i="1" s="1"/>
  <c r="F370" i="1" s="1"/>
</calcChain>
</file>

<file path=xl/sharedStrings.xml><?xml version="1.0" encoding="utf-8"?>
<sst xmlns="http://schemas.openxmlformats.org/spreadsheetml/2006/main" count="88" uniqueCount="87">
  <si>
    <t>Purchase Price</t>
  </si>
  <si>
    <t>Down Payment %</t>
  </si>
  <si>
    <t>Interest rate (Annual)</t>
  </si>
  <si>
    <t>Loan Term (Years)</t>
  </si>
  <si>
    <t>Loan Amount</t>
  </si>
  <si>
    <t>Monthly Payment</t>
  </si>
  <si>
    <t>PMT</t>
  </si>
  <si>
    <t>Month</t>
  </si>
  <si>
    <t>Beginning Balance</t>
  </si>
  <si>
    <t>Payment</t>
  </si>
  <si>
    <t>Interest</t>
  </si>
  <si>
    <t>Principal</t>
  </si>
  <si>
    <t>Ending Balance</t>
  </si>
  <si>
    <t>Category</t>
  </si>
  <si>
    <t>Function name</t>
  </si>
  <si>
    <t>Syntax</t>
  </si>
  <si>
    <t>Plain English Definition</t>
  </si>
  <si>
    <t>Real World Example</t>
  </si>
  <si>
    <t>Financial</t>
  </si>
  <si>
    <t>PMT(rate, nper, pv, [fv], [type])</t>
  </si>
  <si>
    <t>Calculates the fixed periodic payment required to pay off a loan or investment over a specified term at a constant interest rate.</t>
  </si>
  <si>
    <t>PMT(B3/12, B4*12, -B5)
(Divides annual rate by 12 for monthly periods, multiplies years by 12 for total months, and uses a negative present value for the loan amount).</t>
  </si>
  <si>
    <t>Logical</t>
  </si>
  <si>
    <t>IF</t>
  </si>
  <si>
    <t>IF(logical_test, value_if_true, value_if_false)</t>
  </si>
  <si>
    <t>Evaluates a condition to see if it is true or false, then returns one specified result if true and a different result if false</t>
  </si>
  <si>
    <t>IF(A11&gt;($B$4*12), "", $B$6)
(Checks if the current month number exceeds the total months in the loan term; leaves the cell blank "" if true, otherwise outputs the monthly payment).</t>
  </si>
  <si>
    <t>Shortcut</t>
  </si>
  <si>
    <t>What It Does</t>
  </si>
  <si>
    <t>Alt + H + W</t>
  </si>
  <si>
    <t>Turn Wrap Text on or off (expands row height to fit text)</t>
  </si>
  <si>
    <t>Alt + H + O + I</t>
  </si>
  <si>
    <t>AutoFit Column Width (instantly fits column to text)</t>
  </si>
  <si>
    <t>Alt + H + O + A</t>
  </si>
  <si>
    <t>AutoFit Row Height (instantly fits row to text)</t>
  </si>
  <si>
    <t>Alt + H + H</t>
  </si>
  <si>
    <t>Open the Fill Color menu to highlight cells</t>
  </si>
  <si>
    <t>Ctrl + Shift + !</t>
  </si>
  <si>
    <t>Format number with commas and two decimal places</t>
  </si>
  <si>
    <t>Alt + H then 0</t>
  </si>
  <si>
    <t>Increase decimal places</t>
  </si>
  <si>
    <t>Alt + H then 9</t>
  </si>
  <si>
    <t>Decrease decimal places</t>
  </si>
  <si>
    <t>Ctrl + FN + Left Arrow key (Home)</t>
  </si>
  <si>
    <t>Instantly jump to cell A1 (top-left of sheet)</t>
  </si>
  <si>
    <t>Ctrl + Arrow Keys</t>
  </si>
  <si>
    <t>Jump to the very edge of a data block (up, down, left, right)</t>
  </si>
  <si>
    <t>Shift + Arrow Keys</t>
  </si>
  <si>
    <t>Highlight/select a range of cells</t>
  </si>
  <si>
    <t>Ctrl + Shift + Arrow Keys</t>
  </si>
  <si>
    <t>Highlight an entire block of data to the edge</t>
  </si>
  <si>
    <t>Ctrl + Shift + %</t>
  </si>
  <si>
    <t>Formats a column into percent</t>
  </si>
  <si>
    <t>Data Analysis / What-IF</t>
  </si>
  <si>
    <t>TABLE</t>
  </si>
  <si>
    <t>TABLE(Row_Input cell, Column_Input_Cell)</t>
  </si>
  <si>
    <t>Automatically runs multi-variable sensitivity models by substituting values into one or two target input cells and returning the formula outcome across a grid.</t>
  </si>
  <si>
    <t>{=TABLE(B4, B3)} (Tests combinations of loan terms from Row 7 and interest rates from Column H against the monthly payment formula in B6).</t>
  </si>
  <si>
    <t>Initial Equity / Down Payment</t>
  </si>
  <si>
    <t>Estimated Closing Costs</t>
  </si>
  <si>
    <t>Total Cash Invested</t>
  </si>
  <si>
    <t>Gross Monthly Rent</t>
  </si>
  <si>
    <t>Vacancy Rate</t>
  </si>
  <si>
    <t>Annual Property Taxes</t>
  </si>
  <si>
    <t>Annual Insurance</t>
  </si>
  <si>
    <t>Repairs &amp; Maintenance %</t>
  </si>
  <si>
    <t>Gross Scheduled Income (GSI)</t>
  </si>
  <si>
    <t>Less: Vacancy</t>
  </si>
  <si>
    <t>Effective Gross Income (EGI)</t>
  </si>
  <si>
    <t>Property Taxes</t>
  </si>
  <si>
    <t>Property Insurance</t>
  </si>
  <si>
    <t>Repairs &amp; Maintenance</t>
  </si>
  <si>
    <t>Total Operating Expenses</t>
  </si>
  <si>
    <t>Net Operating Income (NOI)</t>
  </si>
  <si>
    <t>Annual Debt Service</t>
  </si>
  <si>
    <t>Net Annual Cash Flow</t>
  </si>
  <si>
    <t>Monthly Cash Flow</t>
  </si>
  <si>
    <t>Cap Rate</t>
  </si>
  <si>
    <t>Cash-on-Cash Return</t>
  </si>
  <si>
    <t>Debt Service Coverage Ratio</t>
  </si>
  <si>
    <t>Annual Rent Growth</t>
  </si>
  <si>
    <t>Annual Expense Inflation</t>
  </si>
  <si>
    <t>Year 1</t>
  </si>
  <si>
    <t>Year 2</t>
  </si>
  <si>
    <t>Year 3</t>
  </si>
  <si>
    <t>Year 4</t>
  </si>
  <si>
    <t>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</si>
</sst>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66" formatCode=";;;&quot;Rate / Term&quot;"/>
    <numFmt numFmtId="167" formatCode="_([$$-409]* #,##0.00_);_([$$-409]* \(#,##0.00\);_([$$-409]* &quot;-&quot;??_);_(@_)"/>
    <numFmt numFmtId="170" formatCode="0.00&quot; x&quot;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8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4" fontId="0" fillId="0" borderId="0" xfId="0" applyNumberFormat="1"/>
    <xf numFmtId="0" fontId="0" fillId="2" borderId="0" xfId="0" applyFill="1" applyAlignment="1">
      <alignment wrapText="1"/>
    </xf>
    <xf numFmtId="9" fontId="0" fillId="0" borderId="0" xfId="0" applyNumberFormat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0" fillId="0" borderId="0" xfId="0" quotePrefix="1" applyNumberFormat="1"/>
    <xf numFmtId="9" fontId="0" fillId="0" borderId="0" xfId="2" applyFont="1"/>
    <xf numFmtId="170" fontId="0" fillId="0" borderId="0" xfId="0" applyNumberFormat="1"/>
    <xf numFmtId="44" fontId="0" fillId="0" borderId="0" xfId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DE01-24D4-49ED-BEC2-FE05BA1926CD}">
  <dimension ref="A1:L14"/>
  <sheetViews>
    <sheetView tabSelected="1" topLeftCell="A4" workbookViewId="0">
      <selection activeCell="D18" sqref="D18"/>
    </sheetView>
  </sheetViews>
  <sheetFormatPr defaultRowHeight="14.5" x14ac:dyDescent="0.35"/>
  <cols>
    <col min="1" max="1" width="24.1796875" bestFit="1" customWidth="1"/>
    <col min="2" max="2" width="12.1796875" bestFit="1" customWidth="1"/>
    <col min="4" max="4" width="25.453125" bestFit="1" customWidth="1"/>
    <col min="5" max="9" width="11.81640625" bestFit="1" customWidth="1"/>
    <col min="11" max="11" width="23.81640625" bestFit="1" customWidth="1"/>
    <col min="12" max="12" width="5.54296875" bestFit="1" customWidth="1"/>
  </cols>
  <sheetData>
    <row r="1" spans="1:12" x14ac:dyDescent="0.35">
      <c r="E1" t="s">
        <v>82</v>
      </c>
      <c r="F1" t="s">
        <v>83</v>
      </c>
      <c r="G1" t="s">
        <v>84</v>
      </c>
      <c r="H1" t="s">
        <v>85</v>
      </c>
      <c r="I1" t="s">
        <v>86</v>
      </c>
    </row>
    <row r="2" spans="1:12" x14ac:dyDescent="0.35">
      <c r="A2" t="s">
        <v>0</v>
      </c>
      <c r="B2" s="9">
        <f>'PMT Practice'!B1</f>
        <v>500000</v>
      </c>
      <c r="D2" t="s">
        <v>66</v>
      </c>
      <c r="E2" s="9">
        <f>B7*12</f>
        <v>54000</v>
      </c>
      <c r="F2" s="9">
        <f>E2 * (1 + $B$12)</f>
        <v>55620</v>
      </c>
      <c r="G2" s="9">
        <f>F2 * (1 + $B$12)</f>
        <v>57288.6</v>
      </c>
      <c r="H2" s="9">
        <f t="shared" ref="G2:I2" si="0">G2 * (1 + $B$12)</f>
        <v>59007.258000000002</v>
      </c>
      <c r="I2" s="9">
        <f t="shared" si="0"/>
        <v>60777.475740000002</v>
      </c>
      <c r="K2" t="s">
        <v>77</v>
      </c>
      <c r="L2" s="11">
        <f>E11/B2</f>
        <v>7.3791999999999996E-2</v>
      </c>
    </row>
    <row r="3" spans="1:12" x14ac:dyDescent="0.35">
      <c r="A3" t="s">
        <v>58</v>
      </c>
      <c r="B3" s="9">
        <f>'PMT Practice'!B1 * 'PMT Practice'!B2</f>
        <v>100000</v>
      </c>
      <c r="D3" t="s">
        <v>67</v>
      </c>
      <c r="E3" s="9">
        <f>-E2*B8</f>
        <v>-2700</v>
      </c>
      <c r="F3" s="13">
        <f>-F2 * B8</f>
        <v>-2781</v>
      </c>
      <c r="G3" s="13">
        <f>-G2 * B8</f>
        <v>-2864.4300000000003</v>
      </c>
      <c r="H3" s="13">
        <f>-H2 * B8</f>
        <v>-2950.3629000000001</v>
      </c>
      <c r="I3" s="13">
        <f>-I2 * B8</f>
        <v>-3038.8737870000004</v>
      </c>
      <c r="K3" t="s">
        <v>78</v>
      </c>
      <c r="L3" s="11">
        <f>E13/B5</f>
        <v>5.7015085846415098E-2</v>
      </c>
    </row>
    <row r="4" spans="1:12" x14ac:dyDescent="0.35">
      <c r="A4" t="s">
        <v>59</v>
      </c>
      <c r="B4" s="9">
        <f>B2*0.03</f>
        <v>15000</v>
      </c>
      <c r="D4" t="s">
        <v>68</v>
      </c>
      <c r="E4" s="9">
        <f>E2+E3</f>
        <v>51300</v>
      </c>
      <c r="F4" s="9">
        <f>SUM(F2,F3)</f>
        <v>52839</v>
      </c>
      <c r="G4" s="9">
        <f t="shared" ref="G4:I4" si="1">SUM(G2,G3)</f>
        <v>54424.17</v>
      </c>
      <c r="H4" s="9">
        <f t="shared" si="1"/>
        <v>56056.895100000002</v>
      </c>
      <c r="I4" s="9">
        <f t="shared" si="1"/>
        <v>57738.601953000005</v>
      </c>
      <c r="K4" t="s">
        <v>79</v>
      </c>
      <c r="L4" s="12">
        <f>E11/-E12</f>
        <v>1.2161138328416379</v>
      </c>
    </row>
    <row r="5" spans="1:12" x14ac:dyDescent="0.35">
      <c r="A5" t="s">
        <v>60</v>
      </c>
      <c r="B5" s="9">
        <f>B3+B4</f>
        <v>115000</v>
      </c>
      <c r="E5" s="9"/>
    </row>
    <row r="6" spans="1:12" x14ac:dyDescent="0.35">
      <c r="B6" s="9"/>
      <c r="D6" t="s">
        <v>69</v>
      </c>
      <c r="E6" s="9">
        <f>-B9</f>
        <v>-8500</v>
      </c>
      <c r="F6" s="9">
        <f>E6 * (1+$B$13)</f>
        <v>-8712.5</v>
      </c>
      <c r="G6" s="9">
        <f t="shared" ref="G6:I6" si="2">F6 * (1+$B$13)</f>
        <v>-8930.3125</v>
      </c>
      <c r="H6" s="9">
        <f t="shared" si="2"/>
        <v>-9153.5703125</v>
      </c>
      <c r="I6" s="9">
        <f t="shared" si="2"/>
        <v>-9382.4095703124985</v>
      </c>
    </row>
    <row r="7" spans="1:12" x14ac:dyDescent="0.35">
      <c r="A7" t="s">
        <v>61</v>
      </c>
      <c r="B7" s="9">
        <v>4500</v>
      </c>
      <c r="D7" t="s">
        <v>70</v>
      </c>
      <c r="E7" s="9">
        <f>-B10</f>
        <v>-1800</v>
      </c>
      <c r="F7" s="9">
        <f>E7 * (1+$B$13)</f>
        <v>-1844.9999999999998</v>
      </c>
      <c r="G7" s="9">
        <f t="shared" ref="G7:I7" si="3">F7 * (1+$B$13)</f>
        <v>-1891.1249999999995</v>
      </c>
      <c r="H7" s="9">
        <f t="shared" si="3"/>
        <v>-1938.4031249999994</v>
      </c>
      <c r="I7" s="9">
        <f t="shared" si="3"/>
        <v>-1986.8632031249992</v>
      </c>
    </row>
    <row r="8" spans="1:12" x14ac:dyDescent="0.35">
      <c r="A8" t="s">
        <v>62</v>
      </c>
      <c r="B8" s="11">
        <v>0.05</v>
      </c>
      <c r="D8" t="s">
        <v>71</v>
      </c>
      <c r="E8" s="9">
        <f>E4*-B11</f>
        <v>-4104</v>
      </c>
      <c r="F8" s="9">
        <f>F4*-B11</f>
        <v>-4227.12</v>
      </c>
      <c r="G8" s="9">
        <f>G4*-B11</f>
        <v>-4353.9336000000003</v>
      </c>
      <c r="H8" s="9">
        <f>H4*-B11</f>
        <v>-4484.5516080000007</v>
      </c>
      <c r="I8" s="9">
        <f>I4*-B11</f>
        <v>-4619.0881562400009</v>
      </c>
    </row>
    <row r="9" spans="1:12" x14ac:dyDescent="0.35">
      <c r="A9" t="s">
        <v>63</v>
      </c>
      <c r="B9" s="9">
        <v>8500</v>
      </c>
      <c r="D9" t="s">
        <v>72</v>
      </c>
      <c r="E9" s="9">
        <f>SUM(E6,E7,E8)</f>
        <v>-14404</v>
      </c>
      <c r="F9" s="9">
        <f>SUM(F6:F8)</f>
        <v>-14784.619999999999</v>
      </c>
      <c r="G9" s="9">
        <f t="shared" ref="G9:I9" si="4">SUM(G6:G8)</f>
        <v>-15175.3711</v>
      </c>
      <c r="H9" s="9">
        <f t="shared" si="4"/>
        <v>-15576.525045499999</v>
      </c>
      <c r="I9" s="9">
        <f t="shared" si="4"/>
        <v>-15988.360929677499</v>
      </c>
    </row>
    <row r="10" spans="1:12" x14ac:dyDescent="0.35">
      <c r="A10" t="s">
        <v>64</v>
      </c>
      <c r="B10" s="9">
        <v>1800</v>
      </c>
      <c r="E10" s="9"/>
    </row>
    <row r="11" spans="1:12" x14ac:dyDescent="0.35">
      <c r="A11" t="s">
        <v>65</v>
      </c>
      <c r="B11" s="11">
        <v>0.08</v>
      </c>
      <c r="D11" t="s">
        <v>73</v>
      </c>
      <c r="E11" s="9">
        <f>E4+E9</f>
        <v>36896</v>
      </c>
      <c r="F11" s="9">
        <f>F4+F9</f>
        <v>38054.380000000005</v>
      </c>
      <c r="G11" s="9">
        <f t="shared" ref="G11:I11" si="5">G4+G9</f>
        <v>39248.798899999994</v>
      </c>
      <c r="H11" s="9">
        <f t="shared" si="5"/>
        <v>40480.370054500003</v>
      </c>
      <c r="I11" s="9">
        <f t="shared" si="5"/>
        <v>41750.241023322509</v>
      </c>
    </row>
    <row r="12" spans="1:12" x14ac:dyDescent="0.35">
      <c r="A12" t="s">
        <v>80</v>
      </c>
      <c r="B12" s="6">
        <v>0.03</v>
      </c>
      <c r="D12" t="s">
        <v>74</v>
      </c>
      <c r="E12" s="10">
        <f>-'PMT Practice'!B6 * 12</f>
        <v>-30339.265127662264</v>
      </c>
      <c r="F12" s="9">
        <f>E12</f>
        <v>-30339.265127662264</v>
      </c>
      <c r="G12" s="9">
        <f t="shared" ref="G12:I12" si="6">F12</f>
        <v>-30339.265127662264</v>
      </c>
      <c r="H12" s="9">
        <f t="shared" si="6"/>
        <v>-30339.265127662264</v>
      </c>
      <c r="I12" s="9">
        <f t="shared" si="6"/>
        <v>-30339.265127662264</v>
      </c>
    </row>
    <row r="13" spans="1:12" x14ac:dyDescent="0.35">
      <c r="A13" t="s">
        <v>81</v>
      </c>
      <c r="B13" s="7">
        <v>2.5000000000000001E-2</v>
      </c>
      <c r="D13" t="s">
        <v>75</v>
      </c>
      <c r="E13" s="9">
        <f>E11+E12</f>
        <v>6556.7348723377363</v>
      </c>
      <c r="F13" s="9">
        <f>F11+F12</f>
        <v>7715.114872337741</v>
      </c>
      <c r="G13" s="9">
        <f t="shared" ref="G13:I13" si="7">G11+G12</f>
        <v>8909.5337723377306</v>
      </c>
      <c r="H13" s="9">
        <f t="shared" si="7"/>
        <v>10141.104926837739</v>
      </c>
      <c r="I13" s="9">
        <f t="shared" si="7"/>
        <v>11410.975895660245</v>
      </c>
    </row>
    <row r="14" spans="1:12" x14ac:dyDescent="0.35">
      <c r="D14" t="s">
        <v>76</v>
      </c>
      <c r="E14" s="9">
        <f>E13/12</f>
        <v>546.39457269481136</v>
      </c>
      <c r="F14" s="9">
        <f>F13/12</f>
        <v>642.92623936147845</v>
      </c>
      <c r="G14" s="9">
        <f t="shared" ref="G14:I14" si="8">G13/12</f>
        <v>742.46114769481085</v>
      </c>
      <c r="H14" s="9">
        <f t="shared" si="8"/>
        <v>845.0920772364783</v>
      </c>
      <c r="I14" s="9">
        <f t="shared" si="8"/>
        <v>950.91465797168712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EB8B-614D-4095-B542-0FB902BD8F4A}">
  <dimension ref="A1:L370"/>
  <sheetViews>
    <sheetView zoomScale="61" workbookViewId="0">
      <selection activeCell="K28" sqref="K28"/>
    </sheetView>
  </sheetViews>
  <sheetFormatPr defaultRowHeight="14.5" x14ac:dyDescent="0.35"/>
  <cols>
    <col min="1" max="1" width="18.08984375" bestFit="1" customWidth="1"/>
    <col min="2" max="2" width="15.6328125" bestFit="1" customWidth="1"/>
    <col min="6" max="6" width="13.1796875" bestFit="1" customWidth="1"/>
    <col min="8" max="8" width="9.54296875" bestFit="1" customWidth="1"/>
    <col min="9" max="9" width="9.90625" bestFit="1" customWidth="1"/>
    <col min="10" max="12" width="9.54296875" bestFit="1" customWidth="1"/>
  </cols>
  <sheetData>
    <row r="1" spans="1:12" x14ac:dyDescent="0.35">
      <c r="A1" t="s">
        <v>0</v>
      </c>
      <c r="B1">
        <v>500000</v>
      </c>
    </row>
    <row r="2" spans="1:12" x14ac:dyDescent="0.35">
      <c r="A2" t="s">
        <v>1</v>
      </c>
      <c r="B2">
        <v>0.2</v>
      </c>
    </row>
    <row r="3" spans="1:12" x14ac:dyDescent="0.35">
      <c r="A3" t="s">
        <v>2</v>
      </c>
      <c r="B3">
        <v>6.5000000000000002E-2</v>
      </c>
    </row>
    <row r="4" spans="1:12" x14ac:dyDescent="0.35">
      <c r="A4" t="s">
        <v>3</v>
      </c>
      <c r="B4">
        <v>30</v>
      </c>
    </row>
    <row r="5" spans="1:12" x14ac:dyDescent="0.35">
      <c r="A5" t="s">
        <v>4</v>
      </c>
      <c r="B5">
        <f>B1*(1-B2)</f>
        <v>400000</v>
      </c>
    </row>
    <row r="6" spans="1:12" x14ac:dyDescent="0.35">
      <c r="A6" t="s">
        <v>5</v>
      </c>
      <c r="B6" s="1">
        <f>PMT(B3/12, B4*12, -B5)</f>
        <v>2528.2720939718552</v>
      </c>
    </row>
    <row r="7" spans="1:12" x14ac:dyDescent="0.35">
      <c r="H7" s="8">
        <f>B6</f>
        <v>2528.2720939718552</v>
      </c>
      <c r="I7">
        <v>15</v>
      </c>
      <c r="J7">
        <v>20</v>
      </c>
      <c r="K7">
        <v>25</v>
      </c>
      <c r="L7">
        <v>30</v>
      </c>
    </row>
    <row r="8" spans="1:12" x14ac:dyDescent="0.35">
      <c r="H8" s="7">
        <v>5.5E-2</v>
      </c>
      <c r="I8" s="1">
        <f t="dataTable" ref="I8:L13" dt2D="1" dtr="1" r1="B4" r2="B3"/>
        <v>3268.333818484557</v>
      </c>
      <c r="J8" s="1">
        <v>2751.5492314369544</v>
      </c>
      <c r="K8" s="1">
        <v>2456.3499691258808</v>
      </c>
      <c r="L8" s="1">
        <v>2271.1560053880116</v>
      </c>
    </row>
    <row r="9" spans="1:12" x14ac:dyDescent="0.3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H9" s="7">
        <v>0.06</v>
      </c>
      <c r="I9" s="1">
        <v>3375.4273121938054</v>
      </c>
      <c r="J9" s="1">
        <v>2865.7242339126592</v>
      </c>
      <c r="K9" s="1">
        <v>2577.2056059420343</v>
      </c>
      <c r="L9" s="1">
        <v>2398.2021006110094</v>
      </c>
    </row>
    <row r="10" spans="1:12" x14ac:dyDescent="0.35">
      <c r="A10">
        <v>0</v>
      </c>
      <c r="F10">
        <f>B5</f>
        <v>400000</v>
      </c>
      <c r="H10" s="7">
        <v>6.5000000000000002E-2</v>
      </c>
      <c r="I10" s="1">
        <v>3484.4294611894466</v>
      </c>
      <c r="J10" s="1">
        <v>2982.2925420603879</v>
      </c>
      <c r="K10" s="1">
        <v>2700.8286453905584</v>
      </c>
      <c r="L10" s="1">
        <v>2528.2720939718552</v>
      </c>
    </row>
    <row r="11" spans="1:12" x14ac:dyDescent="0.35">
      <c r="A11">
        <v>1</v>
      </c>
      <c r="B11" s="4">
        <f>F10</f>
        <v>400000</v>
      </c>
      <c r="C11" s="4">
        <f>IF(A11&gt;($B$4*12), "", $B$6)</f>
        <v>2528.2720939718552</v>
      </c>
      <c r="D11" s="4">
        <f>IF(B11&lt;=0, 0, B11*($B$3/12))</f>
        <v>2166.6666666666665</v>
      </c>
      <c r="E11" s="4">
        <f>IF(B11&lt;=0, 0, C11-D11)</f>
        <v>361.60542730518864</v>
      </c>
      <c r="F11" s="4">
        <f>IF(B11&lt;=0, 0, B11-E11)</f>
        <v>399638.39457269479</v>
      </c>
      <c r="H11" s="7">
        <v>7.0000000000000007E-2</v>
      </c>
      <c r="I11" s="1">
        <v>3595.3130834097083</v>
      </c>
      <c r="J11" s="1">
        <v>3101.1957424754983</v>
      </c>
      <c r="K11" s="1">
        <v>2827.116789100367</v>
      </c>
      <c r="L11" s="1">
        <v>2661.2099807167328</v>
      </c>
    </row>
    <row r="12" spans="1:12" x14ac:dyDescent="0.35">
      <c r="A12">
        <v>2</v>
      </c>
      <c r="B12" s="4">
        <f t="shared" ref="B12:B75" si="0">F11</f>
        <v>399638.39457269479</v>
      </c>
      <c r="C12" s="4">
        <f t="shared" ref="C12:C75" si="1">IF(A12&gt;($B$4*12), "", $B$6)</f>
        <v>2528.2720939718552</v>
      </c>
      <c r="D12" s="4">
        <f t="shared" ref="D12:D75" si="2">IF(B12&lt;=0, 0, B12*($B$3/12))</f>
        <v>2164.7079706020968</v>
      </c>
      <c r="E12" s="4">
        <f t="shared" ref="E12:E75" si="3">IF(B12&lt;=0, 0, C12-D12)</f>
        <v>363.56412336975836</v>
      </c>
      <c r="F12" s="4">
        <f t="shared" ref="F12:F75" si="4">IF(B12&lt;=0, 0, B12-E12)</f>
        <v>399274.83044932503</v>
      </c>
      <c r="H12" s="7">
        <v>7.4999999999999997E-2</v>
      </c>
      <c r="I12" s="1">
        <v>3708.0494400109524</v>
      </c>
      <c r="J12" s="1">
        <v>3222.3727742072292</v>
      </c>
      <c r="K12" s="1">
        <v>2955.9647111898371</v>
      </c>
      <c r="L12" s="1">
        <v>2796.8580342111168</v>
      </c>
    </row>
    <row r="13" spans="1:12" x14ac:dyDescent="0.35">
      <c r="A13">
        <v>3</v>
      </c>
      <c r="B13" s="4">
        <f t="shared" si="0"/>
        <v>399274.83044932503</v>
      </c>
      <c r="C13" s="4">
        <f t="shared" si="1"/>
        <v>2528.2720939718552</v>
      </c>
      <c r="D13" s="4">
        <f t="shared" si="2"/>
        <v>2162.7386649338441</v>
      </c>
      <c r="E13" s="4">
        <f t="shared" si="3"/>
        <v>365.53342903801104</v>
      </c>
      <c r="F13" s="4">
        <f t="shared" si="4"/>
        <v>398909.29702028702</v>
      </c>
      <c r="H13" s="7">
        <v>0.08</v>
      </c>
      <c r="I13" s="1">
        <v>3822.608337321406</v>
      </c>
      <c r="J13" s="1">
        <v>3345.7602759738511</v>
      </c>
      <c r="K13" s="1">
        <v>3087.2648774920121</v>
      </c>
      <c r="L13" s="1">
        <v>2935.0582955175046</v>
      </c>
    </row>
    <row r="14" spans="1:12" x14ac:dyDescent="0.35">
      <c r="A14">
        <v>4</v>
      </c>
      <c r="B14" s="4">
        <f t="shared" si="0"/>
        <v>398909.29702028702</v>
      </c>
      <c r="C14" s="4">
        <f t="shared" si="1"/>
        <v>2528.2720939718552</v>
      </c>
      <c r="D14" s="4">
        <f t="shared" si="2"/>
        <v>2160.7586921932216</v>
      </c>
      <c r="E14" s="4">
        <f t="shared" si="3"/>
        <v>367.51340177863358</v>
      </c>
      <c r="F14" s="4">
        <f t="shared" si="4"/>
        <v>398541.78361850837</v>
      </c>
    </row>
    <row r="15" spans="1:12" x14ac:dyDescent="0.35">
      <c r="A15">
        <v>5</v>
      </c>
      <c r="B15" s="4">
        <f t="shared" si="0"/>
        <v>398541.78361850837</v>
      </c>
      <c r="C15" s="4">
        <f t="shared" si="1"/>
        <v>2528.2720939718552</v>
      </c>
      <c r="D15" s="4">
        <f t="shared" si="2"/>
        <v>2158.7679946002536</v>
      </c>
      <c r="E15" s="4">
        <f t="shared" si="3"/>
        <v>369.50409937160157</v>
      </c>
      <c r="F15" s="4">
        <f t="shared" si="4"/>
        <v>398172.27951913676</v>
      </c>
    </row>
    <row r="16" spans="1:12" x14ac:dyDescent="0.35">
      <c r="A16">
        <v>6</v>
      </c>
      <c r="B16" s="4">
        <f t="shared" si="0"/>
        <v>398172.27951913676</v>
      </c>
      <c r="C16" s="4">
        <f t="shared" si="1"/>
        <v>2528.2720939718552</v>
      </c>
      <c r="D16" s="4">
        <f t="shared" si="2"/>
        <v>2156.7665140619911</v>
      </c>
      <c r="E16" s="4">
        <f t="shared" si="3"/>
        <v>371.50557990986408</v>
      </c>
      <c r="F16" s="4">
        <f t="shared" si="4"/>
        <v>397800.77393922687</v>
      </c>
    </row>
    <row r="17" spans="1:6" x14ac:dyDescent="0.35">
      <c r="A17">
        <v>7</v>
      </c>
      <c r="B17" s="4">
        <f t="shared" si="0"/>
        <v>397800.77393922687</v>
      </c>
      <c r="C17" s="4">
        <f t="shared" si="1"/>
        <v>2528.2720939718552</v>
      </c>
      <c r="D17" s="4">
        <f t="shared" si="2"/>
        <v>2154.7541921708121</v>
      </c>
      <c r="E17" s="4">
        <f t="shared" si="3"/>
        <v>373.51790180104308</v>
      </c>
      <c r="F17" s="4">
        <f t="shared" si="4"/>
        <v>397427.25603742583</v>
      </c>
    </row>
    <row r="18" spans="1:6" x14ac:dyDescent="0.35">
      <c r="A18">
        <v>8</v>
      </c>
      <c r="B18" s="4">
        <f t="shared" si="0"/>
        <v>397427.25603742583</v>
      </c>
      <c r="C18" s="4">
        <f t="shared" si="1"/>
        <v>2528.2720939718552</v>
      </c>
      <c r="D18" s="4">
        <f t="shared" si="2"/>
        <v>2152.7309702027233</v>
      </c>
      <c r="E18" s="4">
        <f t="shared" si="3"/>
        <v>375.5411237691319</v>
      </c>
      <c r="F18" s="4">
        <f t="shared" si="4"/>
        <v>397051.7149136567</v>
      </c>
    </row>
    <row r="19" spans="1:6" x14ac:dyDescent="0.35">
      <c r="A19">
        <v>9</v>
      </c>
      <c r="B19" s="4">
        <f t="shared" si="0"/>
        <v>397051.7149136567</v>
      </c>
      <c r="C19" s="4">
        <f t="shared" si="1"/>
        <v>2528.2720939718552</v>
      </c>
      <c r="D19" s="4">
        <f t="shared" si="2"/>
        <v>2150.6967891156405</v>
      </c>
      <c r="E19" s="4">
        <f t="shared" si="3"/>
        <v>377.57530485621464</v>
      </c>
      <c r="F19" s="4">
        <f t="shared" si="4"/>
        <v>396674.13960880047</v>
      </c>
    </row>
    <row r="20" spans="1:6" x14ac:dyDescent="0.35">
      <c r="A20">
        <v>10</v>
      </c>
      <c r="B20" s="4">
        <f t="shared" si="0"/>
        <v>396674.13960880047</v>
      </c>
      <c r="C20" s="4">
        <f t="shared" si="1"/>
        <v>2528.2720939718552</v>
      </c>
      <c r="D20" s="4">
        <f t="shared" si="2"/>
        <v>2148.6515895476691</v>
      </c>
      <c r="E20" s="4">
        <f t="shared" si="3"/>
        <v>379.62050442418604</v>
      </c>
      <c r="F20" s="4">
        <f t="shared" si="4"/>
        <v>396294.51910437626</v>
      </c>
    </row>
    <row r="21" spans="1:6" x14ac:dyDescent="0.35">
      <c r="A21">
        <v>11</v>
      </c>
      <c r="B21" s="4">
        <f t="shared" si="0"/>
        <v>396294.51910437626</v>
      </c>
      <c r="C21" s="4">
        <f t="shared" si="1"/>
        <v>2528.2720939718552</v>
      </c>
      <c r="D21" s="4">
        <f t="shared" si="2"/>
        <v>2146.5953118153716</v>
      </c>
      <c r="E21" s="4">
        <f t="shared" si="3"/>
        <v>381.67678215648357</v>
      </c>
      <c r="F21" s="4">
        <f t="shared" si="4"/>
        <v>395912.8423222198</v>
      </c>
    </row>
    <row r="22" spans="1:6" x14ac:dyDescent="0.35">
      <c r="A22">
        <v>12</v>
      </c>
      <c r="B22" s="4">
        <f t="shared" si="0"/>
        <v>395912.8423222198</v>
      </c>
      <c r="C22" s="4">
        <f t="shared" si="1"/>
        <v>2528.2720939718552</v>
      </c>
      <c r="D22" s="4">
        <f t="shared" si="2"/>
        <v>2144.5278959120242</v>
      </c>
      <c r="E22" s="4">
        <f t="shared" si="3"/>
        <v>383.74419805983098</v>
      </c>
      <c r="F22" s="4">
        <f t="shared" si="4"/>
        <v>395529.09812415997</v>
      </c>
    </row>
    <row r="23" spans="1:6" x14ac:dyDescent="0.35">
      <c r="A23">
        <v>13</v>
      </c>
      <c r="B23" s="4">
        <f t="shared" si="0"/>
        <v>395529.09812415997</v>
      </c>
      <c r="C23" s="4">
        <f t="shared" si="1"/>
        <v>2528.2720939718552</v>
      </c>
      <c r="D23" s="4">
        <f t="shared" si="2"/>
        <v>2142.4492815058666</v>
      </c>
      <c r="E23" s="4">
        <f t="shared" si="3"/>
        <v>385.82281246598859</v>
      </c>
      <c r="F23" s="4">
        <f t="shared" si="4"/>
        <v>395143.27531169396</v>
      </c>
    </row>
    <row r="24" spans="1:6" x14ac:dyDescent="0.35">
      <c r="A24">
        <v>14</v>
      </c>
      <c r="B24" s="4">
        <f t="shared" si="0"/>
        <v>395143.27531169396</v>
      </c>
      <c r="C24" s="4">
        <f t="shared" si="1"/>
        <v>2528.2720939718552</v>
      </c>
      <c r="D24" s="4">
        <f t="shared" si="2"/>
        <v>2140.3594079383424</v>
      </c>
      <c r="E24" s="4">
        <f t="shared" si="3"/>
        <v>387.91268603351273</v>
      </c>
      <c r="F24" s="4">
        <f t="shared" si="4"/>
        <v>394755.36262566043</v>
      </c>
    </row>
    <row r="25" spans="1:6" x14ac:dyDescent="0.35">
      <c r="A25">
        <v>15</v>
      </c>
      <c r="B25" s="4">
        <f t="shared" si="0"/>
        <v>394755.36262566043</v>
      </c>
      <c r="C25" s="4">
        <f t="shared" si="1"/>
        <v>2528.2720939718552</v>
      </c>
      <c r="D25" s="4">
        <f t="shared" si="2"/>
        <v>2138.2582142223273</v>
      </c>
      <c r="E25" s="4">
        <f t="shared" si="3"/>
        <v>390.01387974952786</v>
      </c>
      <c r="F25" s="4">
        <f t="shared" si="4"/>
        <v>394365.34874591092</v>
      </c>
    </row>
    <row r="26" spans="1:6" x14ac:dyDescent="0.35">
      <c r="A26">
        <v>16</v>
      </c>
      <c r="B26" s="4">
        <f t="shared" si="0"/>
        <v>394365.34874591092</v>
      </c>
      <c r="C26" s="4">
        <f t="shared" si="1"/>
        <v>2528.2720939718552</v>
      </c>
      <c r="D26" s="4">
        <f t="shared" si="2"/>
        <v>2136.1456390403509</v>
      </c>
      <c r="E26" s="4">
        <f t="shared" si="3"/>
        <v>392.12645493150421</v>
      </c>
      <c r="F26" s="4">
        <f t="shared" si="4"/>
        <v>393973.22229097941</v>
      </c>
    </row>
    <row r="27" spans="1:6" x14ac:dyDescent="0.35">
      <c r="A27">
        <v>17</v>
      </c>
      <c r="B27" s="4">
        <f t="shared" si="0"/>
        <v>393973.22229097941</v>
      </c>
      <c r="C27" s="4">
        <f t="shared" si="1"/>
        <v>2528.2720939718552</v>
      </c>
      <c r="D27" s="4">
        <f t="shared" si="2"/>
        <v>2134.0216207428052</v>
      </c>
      <c r="E27" s="4">
        <f t="shared" si="3"/>
        <v>394.25047322904993</v>
      </c>
      <c r="F27" s="4">
        <f t="shared" si="4"/>
        <v>393578.97181775037</v>
      </c>
    </row>
    <row r="28" spans="1:6" x14ac:dyDescent="0.35">
      <c r="A28">
        <v>18</v>
      </c>
      <c r="B28" s="4">
        <f t="shared" si="0"/>
        <v>393578.97181775037</v>
      </c>
      <c r="C28" s="4">
        <f t="shared" si="1"/>
        <v>2528.2720939718552</v>
      </c>
      <c r="D28" s="4">
        <f t="shared" si="2"/>
        <v>2131.8860973461478</v>
      </c>
      <c r="E28" s="4">
        <f t="shared" si="3"/>
        <v>396.38599662570732</v>
      </c>
      <c r="F28" s="4">
        <f t="shared" si="4"/>
        <v>393182.58582112467</v>
      </c>
    </row>
    <row r="29" spans="1:6" x14ac:dyDescent="0.35">
      <c r="A29">
        <v>19</v>
      </c>
      <c r="B29" s="4">
        <f t="shared" si="0"/>
        <v>393182.58582112467</v>
      </c>
      <c r="C29" s="4">
        <f t="shared" si="1"/>
        <v>2528.2720939718552</v>
      </c>
      <c r="D29" s="4">
        <f t="shared" si="2"/>
        <v>2129.7390065310919</v>
      </c>
      <c r="E29" s="4">
        <f t="shared" si="3"/>
        <v>398.53308744076321</v>
      </c>
      <c r="F29" s="4">
        <f t="shared" si="4"/>
        <v>392784.0527336839</v>
      </c>
    </row>
    <row r="30" spans="1:6" x14ac:dyDescent="0.35">
      <c r="A30">
        <v>20</v>
      </c>
      <c r="B30" s="4">
        <f t="shared" si="0"/>
        <v>392784.0527336839</v>
      </c>
      <c r="C30" s="4">
        <f t="shared" si="1"/>
        <v>2528.2720939718552</v>
      </c>
      <c r="D30" s="4">
        <f t="shared" si="2"/>
        <v>2127.5802856407877</v>
      </c>
      <c r="E30" s="4">
        <f t="shared" si="3"/>
        <v>400.69180833106748</v>
      </c>
      <c r="F30" s="4">
        <f t="shared" si="4"/>
        <v>392383.36092535284</v>
      </c>
    </row>
    <row r="31" spans="1:6" x14ac:dyDescent="0.35">
      <c r="A31">
        <v>21</v>
      </c>
      <c r="B31" s="4">
        <f t="shared" si="0"/>
        <v>392383.36092535284</v>
      </c>
      <c r="C31" s="4">
        <f t="shared" si="1"/>
        <v>2528.2720939718552</v>
      </c>
      <c r="D31" s="4">
        <f t="shared" si="2"/>
        <v>2125.4098716789945</v>
      </c>
      <c r="E31" s="4">
        <f t="shared" si="3"/>
        <v>402.86222229286068</v>
      </c>
      <c r="F31" s="4">
        <f t="shared" si="4"/>
        <v>391980.49870305997</v>
      </c>
    </row>
    <row r="32" spans="1:6" x14ac:dyDescent="0.35">
      <c r="A32">
        <v>22</v>
      </c>
      <c r="B32" s="4">
        <f t="shared" si="0"/>
        <v>391980.49870305997</v>
      </c>
      <c r="C32" s="4">
        <f t="shared" si="1"/>
        <v>2528.2720939718552</v>
      </c>
      <c r="D32" s="4">
        <f t="shared" si="2"/>
        <v>2123.2277013082416</v>
      </c>
      <c r="E32" s="4">
        <f t="shared" si="3"/>
        <v>405.04439266361351</v>
      </c>
      <c r="F32" s="4">
        <f t="shared" si="4"/>
        <v>391575.45431039634</v>
      </c>
    </row>
    <row r="33" spans="1:6" x14ac:dyDescent="0.35">
      <c r="A33">
        <v>23</v>
      </c>
      <c r="B33" s="4">
        <f t="shared" si="0"/>
        <v>391575.45431039634</v>
      </c>
      <c r="C33" s="4">
        <f t="shared" si="1"/>
        <v>2528.2720939718552</v>
      </c>
      <c r="D33" s="4">
        <f t="shared" si="2"/>
        <v>2121.0337108479803</v>
      </c>
      <c r="E33" s="4">
        <f t="shared" si="3"/>
        <v>407.23838312387488</v>
      </c>
      <c r="F33" s="4">
        <f t="shared" si="4"/>
        <v>391168.21592727245</v>
      </c>
    </row>
    <row r="34" spans="1:6" x14ac:dyDescent="0.35">
      <c r="A34">
        <v>24</v>
      </c>
      <c r="B34" s="4">
        <f t="shared" si="0"/>
        <v>391168.21592727245</v>
      </c>
      <c r="C34" s="4">
        <f t="shared" si="1"/>
        <v>2528.2720939718552</v>
      </c>
      <c r="D34" s="4">
        <f t="shared" si="2"/>
        <v>2118.827836272726</v>
      </c>
      <c r="E34" s="4">
        <f t="shared" si="3"/>
        <v>409.44425769912914</v>
      </c>
      <c r="F34" s="4">
        <f t="shared" si="4"/>
        <v>390758.77166957333</v>
      </c>
    </row>
    <row r="35" spans="1:6" x14ac:dyDescent="0.35">
      <c r="A35">
        <v>25</v>
      </c>
      <c r="B35" s="4">
        <f t="shared" si="0"/>
        <v>390758.77166957333</v>
      </c>
      <c r="C35" s="4">
        <f t="shared" si="1"/>
        <v>2528.2720939718552</v>
      </c>
      <c r="D35" s="4">
        <f t="shared" si="2"/>
        <v>2116.6100132101888</v>
      </c>
      <c r="E35" s="4">
        <f t="shared" si="3"/>
        <v>411.6620807616664</v>
      </c>
      <c r="F35" s="4">
        <f t="shared" si="4"/>
        <v>390347.10958881164</v>
      </c>
    </row>
    <row r="36" spans="1:6" x14ac:dyDescent="0.35">
      <c r="A36">
        <v>26</v>
      </c>
      <c r="B36" s="4">
        <f t="shared" si="0"/>
        <v>390347.10958881164</v>
      </c>
      <c r="C36" s="4">
        <f t="shared" si="1"/>
        <v>2528.2720939718552</v>
      </c>
      <c r="D36" s="4">
        <f t="shared" si="2"/>
        <v>2114.3801769393963</v>
      </c>
      <c r="E36" s="4">
        <f t="shared" si="3"/>
        <v>413.89191703245888</v>
      </c>
      <c r="F36" s="4">
        <f t="shared" si="4"/>
        <v>389933.21767177916</v>
      </c>
    </row>
    <row r="37" spans="1:6" x14ac:dyDescent="0.35">
      <c r="A37">
        <v>27</v>
      </c>
      <c r="B37" s="4">
        <f t="shared" si="0"/>
        <v>389933.21767177916</v>
      </c>
      <c r="C37" s="4">
        <f t="shared" si="1"/>
        <v>2528.2720939718552</v>
      </c>
      <c r="D37" s="4">
        <f t="shared" si="2"/>
        <v>2112.1382623888039</v>
      </c>
      <c r="E37" s="4">
        <f t="shared" si="3"/>
        <v>416.13383158305123</v>
      </c>
      <c r="F37" s="4">
        <f t="shared" si="4"/>
        <v>389517.08384019608</v>
      </c>
    </row>
    <row r="38" spans="1:6" x14ac:dyDescent="0.35">
      <c r="A38">
        <v>28</v>
      </c>
      <c r="B38" s="4">
        <f t="shared" si="0"/>
        <v>389517.08384019608</v>
      </c>
      <c r="C38" s="4">
        <f t="shared" si="1"/>
        <v>2528.2720939718552</v>
      </c>
      <c r="D38" s="4">
        <f t="shared" si="2"/>
        <v>2109.8842041343955</v>
      </c>
      <c r="E38" s="4">
        <f t="shared" si="3"/>
        <v>418.38788983745962</v>
      </c>
      <c r="F38" s="4">
        <f t="shared" si="4"/>
        <v>389098.69595035864</v>
      </c>
    </row>
    <row r="39" spans="1:6" x14ac:dyDescent="0.35">
      <c r="A39">
        <v>29</v>
      </c>
      <c r="B39" s="4">
        <f t="shared" si="0"/>
        <v>389098.69595035864</v>
      </c>
      <c r="C39" s="4">
        <f t="shared" si="1"/>
        <v>2528.2720939718552</v>
      </c>
      <c r="D39" s="4">
        <f t="shared" si="2"/>
        <v>2107.6179363977762</v>
      </c>
      <c r="E39" s="4">
        <f t="shared" si="3"/>
        <v>420.65415757407891</v>
      </c>
      <c r="F39" s="4">
        <f t="shared" si="4"/>
        <v>388678.04179278458</v>
      </c>
    </row>
    <row r="40" spans="1:6" x14ac:dyDescent="0.35">
      <c r="A40">
        <v>30</v>
      </c>
      <c r="B40" s="4">
        <f t="shared" si="0"/>
        <v>388678.04179278458</v>
      </c>
      <c r="C40" s="4">
        <f t="shared" si="1"/>
        <v>2528.2720939718552</v>
      </c>
      <c r="D40" s="4">
        <f t="shared" si="2"/>
        <v>2105.3393930442498</v>
      </c>
      <c r="E40" s="4">
        <f t="shared" si="3"/>
        <v>422.93270092760531</v>
      </c>
      <c r="F40" s="4">
        <f t="shared" si="4"/>
        <v>388255.10909185698</v>
      </c>
    </row>
    <row r="41" spans="1:6" x14ac:dyDescent="0.35">
      <c r="A41">
        <v>31</v>
      </c>
      <c r="B41" s="4">
        <f t="shared" si="0"/>
        <v>388255.10909185698</v>
      </c>
      <c r="C41" s="4">
        <f t="shared" si="1"/>
        <v>2528.2720939718552</v>
      </c>
      <c r="D41" s="4">
        <f t="shared" si="2"/>
        <v>2103.048507580892</v>
      </c>
      <c r="E41" s="4">
        <f t="shared" si="3"/>
        <v>425.22358639096319</v>
      </c>
      <c r="F41" s="4">
        <f t="shared" si="4"/>
        <v>387829.88550546602</v>
      </c>
    </row>
    <row r="42" spans="1:6" x14ac:dyDescent="0.35">
      <c r="A42">
        <v>32</v>
      </c>
      <c r="B42" s="4">
        <f t="shared" si="0"/>
        <v>387829.88550546602</v>
      </c>
      <c r="C42" s="4">
        <f t="shared" si="1"/>
        <v>2528.2720939718552</v>
      </c>
      <c r="D42" s="4">
        <f t="shared" si="2"/>
        <v>2100.7452131546079</v>
      </c>
      <c r="E42" s="4">
        <f t="shared" si="3"/>
        <v>427.52688081724727</v>
      </c>
      <c r="F42" s="4">
        <f t="shared" si="4"/>
        <v>387402.35862464877</v>
      </c>
    </row>
    <row r="43" spans="1:6" x14ac:dyDescent="0.35">
      <c r="A43">
        <v>33</v>
      </c>
      <c r="B43" s="4">
        <f t="shared" si="0"/>
        <v>387402.35862464877</v>
      </c>
      <c r="C43" s="4">
        <f t="shared" si="1"/>
        <v>2528.2720939718552</v>
      </c>
      <c r="D43" s="4">
        <f t="shared" si="2"/>
        <v>2098.4294425501807</v>
      </c>
      <c r="E43" s="4">
        <f t="shared" si="3"/>
        <v>429.84265142167442</v>
      </c>
      <c r="F43" s="4">
        <f t="shared" si="4"/>
        <v>386972.5159732271</v>
      </c>
    </row>
    <row r="44" spans="1:6" x14ac:dyDescent="0.35">
      <c r="A44">
        <v>34</v>
      </c>
      <c r="B44" s="4">
        <f t="shared" si="0"/>
        <v>386972.5159732271</v>
      </c>
      <c r="C44" s="4">
        <f t="shared" si="1"/>
        <v>2528.2720939718552</v>
      </c>
      <c r="D44" s="4">
        <f t="shared" si="2"/>
        <v>2096.1011281883134</v>
      </c>
      <c r="E44" s="4">
        <f t="shared" si="3"/>
        <v>432.17096578354176</v>
      </c>
      <c r="F44" s="4">
        <f t="shared" si="4"/>
        <v>386540.34500744357</v>
      </c>
    </row>
    <row r="45" spans="1:6" x14ac:dyDescent="0.35">
      <c r="A45">
        <v>35</v>
      </c>
      <c r="B45" s="4">
        <f t="shared" si="0"/>
        <v>386540.34500744357</v>
      </c>
      <c r="C45" s="4">
        <f t="shared" si="1"/>
        <v>2528.2720939718552</v>
      </c>
      <c r="D45" s="4">
        <f t="shared" si="2"/>
        <v>2093.7602021236526</v>
      </c>
      <c r="E45" s="4">
        <f t="shared" si="3"/>
        <v>434.51189184820259</v>
      </c>
      <c r="F45" s="4">
        <f t="shared" si="4"/>
        <v>386105.83311559539</v>
      </c>
    </row>
    <row r="46" spans="1:6" x14ac:dyDescent="0.35">
      <c r="A46">
        <v>36</v>
      </c>
      <c r="B46" s="4">
        <f t="shared" si="0"/>
        <v>386105.83311559539</v>
      </c>
      <c r="C46" s="4">
        <f t="shared" si="1"/>
        <v>2528.2720939718552</v>
      </c>
      <c r="D46" s="4">
        <f t="shared" si="2"/>
        <v>2091.4065960428084</v>
      </c>
      <c r="E46" s="4">
        <f t="shared" si="3"/>
        <v>436.8654979290468</v>
      </c>
      <c r="F46" s="4">
        <f t="shared" si="4"/>
        <v>385668.96761766635</v>
      </c>
    </row>
    <row r="47" spans="1:6" x14ac:dyDescent="0.35">
      <c r="A47">
        <v>37</v>
      </c>
      <c r="B47" s="4">
        <f t="shared" si="0"/>
        <v>385668.96761766635</v>
      </c>
      <c r="C47" s="4">
        <f t="shared" si="1"/>
        <v>2528.2720939718552</v>
      </c>
      <c r="D47" s="4">
        <f t="shared" si="2"/>
        <v>2089.0402412623594</v>
      </c>
      <c r="E47" s="4">
        <f t="shared" si="3"/>
        <v>439.2318527094958</v>
      </c>
      <c r="F47" s="4">
        <f t="shared" si="4"/>
        <v>385229.73576495686</v>
      </c>
    </row>
    <row r="48" spans="1:6" x14ac:dyDescent="0.35">
      <c r="A48">
        <v>38</v>
      </c>
      <c r="B48" s="4">
        <f t="shared" si="0"/>
        <v>385229.73576495686</v>
      </c>
      <c r="C48" s="4">
        <f t="shared" si="1"/>
        <v>2528.2720939718552</v>
      </c>
      <c r="D48" s="4">
        <f t="shared" si="2"/>
        <v>2086.6610687268499</v>
      </c>
      <c r="E48" s="4">
        <f t="shared" si="3"/>
        <v>441.61102524500529</v>
      </c>
      <c r="F48" s="4">
        <f t="shared" si="4"/>
        <v>384788.12473971187</v>
      </c>
    </row>
    <row r="49" spans="1:6" x14ac:dyDescent="0.35">
      <c r="A49">
        <v>39</v>
      </c>
      <c r="B49" s="4">
        <f t="shared" si="0"/>
        <v>384788.12473971187</v>
      </c>
      <c r="C49" s="4">
        <f t="shared" si="1"/>
        <v>2528.2720939718552</v>
      </c>
      <c r="D49" s="4">
        <f t="shared" si="2"/>
        <v>2084.2690090067726</v>
      </c>
      <c r="E49" s="4">
        <f t="shared" si="3"/>
        <v>444.00308496508251</v>
      </c>
      <c r="F49" s="4">
        <f t="shared" si="4"/>
        <v>384344.12165474676</v>
      </c>
    </row>
    <row r="50" spans="1:6" x14ac:dyDescent="0.35">
      <c r="A50">
        <v>40</v>
      </c>
      <c r="B50" s="4">
        <f t="shared" si="0"/>
        <v>384344.12165474676</v>
      </c>
      <c r="C50" s="4">
        <f t="shared" si="1"/>
        <v>2528.2720939718552</v>
      </c>
      <c r="D50" s="4">
        <f t="shared" si="2"/>
        <v>2081.8639922965449</v>
      </c>
      <c r="E50" s="4">
        <f t="shared" si="3"/>
        <v>446.40810167531026</v>
      </c>
      <c r="F50" s="4">
        <f t="shared" si="4"/>
        <v>383897.71355307143</v>
      </c>
    </row>
    <row r="51" spans="1:6" x14ac:dyDescent="0.35">
      <c r="A51">
        <v>41</v>
      </c>
      <c r="B51" s="4">
        <f t="shared" si="0"/>
        <v>383897.71355307143</v>
      </c>
      <c r="C51" s="4">
        <f t="shared" si="1"/>
        <v>2528.2720939718552</v>
      </c>
      <c r="D51" s="4">
        <f t="shared" si="2"/>
        <v>2079.4459484124704</v>
      </c>
      <c r="E51" s="4">
        <f t="shared" si="3"/>
        <v>448.82614555938471</v>
      </c>
      <c r="F51" s="4">
        <f t="shared" si="4"/>
        <v>383448.88740751205</v>
      </c>
    </row>
    <row r="52" spans="1:6" x14ac:dyDescent="0.35">
      <c r="A52">
        <v>42</v>
      </c>
      <c r="B52" s="4">
        <f t="shared" si="0"/>
        <v>383448.88740751205</v>
      </c>
      <c r="C52" s="4">
        <f t="shared" si="1"/>
        <v>2528.2720939718552</v>
      </c>
      <c r="D52" s="4">
        <f t="shared" si="2"/>
        <v>2077.0148067906903</v>
      </c>
      <c r="E52" s="4">
        <f t="shared" si="3"/>
        <v>451.25728718116488</v>
      </c>
      <c r="F52" s="4">
        <f t="shared" si="4"/>
        <v>382997.6301203309</v>
      </c>
    </row>
    <row r="53" spans="1:6" x14ac:dyDescent="0.35">
      <c r="A53">
        <v>43</v>
      </c>
      <c r="B53" s="4">
        <f t="shared" si="0"/>
        <v>382997.6301203309</v>
      </c>
      <c r="C53" s="4">
        <f t="shared" si="1"/>
        <v>2528.2720939718552</v>
      </c>
      <c r="D53" s="4">
        <f t="shared" si="2"/>
        <v>2074.5704964851257</v>
      </c>
      <c r="E53" s="4">
        <f t="shared" si="3"/>
        <v>453.7015974867295</v>
      </c>
      <c r="F53" s="4">
        <f t="shared" si="4"/>
        <v>382543.92852284416</v>
      </c>
    </row>
    <row r="54" spans="1:6" x14ac:dyDescent="0.35">
      <c r="A54">
        <v>44</v>
      </c>
      <c r="B54" s="4">
        <f t="shared" si="0"/>
        <v>382543.92852284416</v>
      </c>
      <c r="C54" s="4">
        <f t="shared" si="1"/>
        <v>2528.2720939718552</v>
      </c>
      <c r="D54" s="4">
        <f t="shared" si="2"/>
        <v>2072.1129461654059</v>
      </c>
      <c r="E54" s="4">
        <f t="shared" si="3"/>
        <v>456.15914780644925</v>
      </c>
      <c r="F54" s="4">
        <f t="shared" si="4"/>
        <v>382087.76937503769</v>
      </c>
    </row>
    <row r="55" spans="1:6" x14ac:dyDescent="0.35">
      <c r="A55">
        <v>45</v>
      </c>
      <c r="B55" s="4">
        <f t="shared" si="0"/>
        <v>382087.76937503769</v>
      </c>
      <c r="C55" s="4">
        <f t="shared" si="1"/>
        <v>2528.2720939718552</v>
      </c>
      <c r="D55" s="4">
        <f t="shared" si="2"/>
        <v>2069.6420841147874</v>
      </c>
      <c r="E55" s="4">
        <f t="shared" si="3"/>
        <v>458.63000985706776</v>
      </c>
      <c r="F55" s="4">
        <f t="shared" si="4"/>
        <v>381629.13936518063</v>
      </c>
    </row>
    <row r="56" spans="1:6" x14ac:dyDescent="0.35">
      <c r="A56">
        <v>46</v>
      </c>
      <c r="B56" s="4">
        <f t="shared" si="0"/>
        <v>381629.13936518063</v>
      </c>
      <c r="C56" s="4">
        <f t="shared" si="1"/>
        <v>2528.2720939718552</v>
      </c>
      <c r="D56" s="4">
        <f t="shared" si="2"/>
        <v>2067.1578382280618</v>
      </c>
      <c r="E56" s="4">
        <f t="shared" si="3"/>
        <v>461.11425574379336</v>
      </c>
      <c r="F56" s="4">
        <f t="shared" si="4"/>
        <v>381168.02510943683</v>
      </c>
    </row>
    <row r="57" spans="1:6" x14ac:dyDescent="0.35">
      <c r="A57">
        <v>47</v>
      </c>
      <c r="B57" s="4">
        <f t="shared" si="0"/>
        <v>381168.02510943683</v>
      </c>
      <c r="C57" s="4">
        <f t="shared" si="1"/>
        <v>2528.2720939718552</v>
      </c>
      <c r="D57" s="4">
        <f t="shared" si="2"/>
        <v>2064.6601360094496</v>
      </c>
      <c r="E57" s="4">
        <f t="shared" si="3"/>
        <v>463.61195796240554</v>
      </c>
      <c r="F57" s="4">
        <f t="shared" si="4"/>
        <v>380704.41315147444</v>
      </c>
    </row>
    <row r="58" spans="1:6" x14ac:dyDescent="0.35">
      <c r="A58">
        <v>48</v>
      </c>
      <c r="B58" s="4">
        <f t="shared" si="0"/>
        <v>380704.41315147444</v>
      </c>
      <c r="C58" s="4">
        <f t="shared" si="1"/>
        <v>2528.2720939718552</v>
      </c>
      <c r="D58" s="4">
        <f t="shared" si="2"/>
        <v>2062.1489045704866</v>
      </c>
      <c r="E58" s="4">
        <f t="shared" si="3"/>
        <v>466.12318940136856</v>
      </c>
      <c r="F58" s="4">
        <f t="shared" si="4"/>
        <v>380238.28996207309</v>
      </c>
    </row>
    <row r="59" spans="1:6" x14ac:dyDescent="0.35">
      <c r="A59">
        <v>49</v>
      </c>
      <c r="B59" s="4">
        <f t="shared" si="0"/>
        <v>380238.28996207309</v>
      </c>
      <c r="C59" s="4">
        <f t="shared" si="1"/>
        <v>2528.2720939718552</v>
      </c>
      <c r="D59" s="4">
        <f t="shared" si="2"/>
        <v>2059.6240706278959</v>
      </c>
      <c r="E59" s="4">
        <f t="shared" si="3"/>
        <v>468.64802334395927</v>
      </c>
      <c r="F59" s="4">
        <f t="shared" si="4"/>
        <v>379769.64193872915</v>
      </c>
    </row>
    <row r="60" spans="1:6" x14ac:dyDescent="0.35">
      <c r="A60">
        <v>50</v>
      </c>
      <c r="B60" s="4">
        <f t="shared" si="0"/>
        <v>379769.64193872915</v>
      </c>
      <c r="C60" s="4">
        <f t="shared" si="1"/>
        <v>2528.2720939718552</v>
      </c>
      <c r="D60" s="4">
        <f t="shared" si="2"/>
        <v>2057.0855605014494</v>
      </c>
      <c r="E60" s="4">
        <f t="shared" si="3"/>
        <v>471.18653347040572</v>
      </c>
      <c r="F60" s="4">
        <f t="shared" si="4"/>
        <v>379298.45540525875</v>
      </c>
    </row>
    <row r="61" spans="1:6" x14ac:dyDescent="0.35">
      <c r="A61">
        <v>51</v>
      </c>
      <c r="B61" s="4">
        <f t="shared" si="0"/>
        <v>379298.45540525875</v>
      </c>
      <c r="C61" s="4">
        <f t="shared" si="1"/>
        <v>2528.2720939718552</v>
      </c>
      <c r="D61" s="4">
        <f t="shared" si="2"/>
        <v>2054.5333001118183</v>
      </c>
      <c r="E61" s="4">
        <f t="shared" si="3"/>
        <v>473.73879386003682</v>
      </c>
      <c r="F61" s="4">
        <f t="shared" si="4"/>
        <v>378824.71661139873</v>
      </c>
    </row>
    <row r="62" spans="1:6" x14ac:dyDescent="0.35">
      <c r="A62">
        <v>52</v>
      </c>
      <c r="B62" s="4">
        <f t="shared" si="0"/>
        <v>378824.71661139873</v>
      </c>
      <c r="C62" s="4">
        <f t="shared" si="1"/>
        <v>2528.2720939718552</v>
      </c>
      <c r="D62" s="4">
        <f t="shared" si="2"/>
        <v>2051.9672149784101</v>
      </c>
      <c r="E62" s="4">
        <f t="shared" si="3"/>
        <v>476.30487899344507</v>
      </c>
      <c r="F62" s="4">
        <f t="shared" si="4"/>
        <v>378348.41173240531</v>
      </c>
    </row>
    <row r="63" spans="1:6" x14ac:dyDescent="0.35">
      <c r="A63">
        <v>53</v>
      </c>
      <c r="B63" s="4">
        <f t="shared" si="0"/>
        <v>378348.41173240531</v>
      </c>
      <c r="C63" s="4">
        <f t="shared" si="1"/>
        <v>2528.2720939718552</v>
      </c>
      <c r="D63" s="4">
        <f t="shared" si="2"/>
        <v>2049.3872302171953</v>
      </c>
      <c r="E63" s="4">
        <f t="shared" si="3"/>
        <v>478.88486375465982</v>
      </c>
      <c r="F63" s="4">
        <f t="shared" si="4"/>
        <v>377869.52686865063</v>
      </c>
    </row>
    <row r="64" spans="1:6" x14ac:dyDescent="0.35">
      <c r="A64">
        <v>54</v>
      </c>
      <c r="B64" s="4">
        <f t="shared" si="0"/>
        <v>377869.52686865063</v>
      </c>
      <c r="C64" s="4">
        <f t="shared" si="1"/>
        <v>2528.2720939718552</v>
      </c>
      <c r="D64" s="4">
        <f t="shared" si="2"/>
        <v>2046.7932705385242</v>
      </c>
      <c r="E64" s="4">
        <f t="shared" si="3"/>
        <v>481.47882343333094</v>
      </c>
      <c r="F64" s="4">
        <f t="shared" si="4"/>
        <v>377388.04804521729</v>
      </c>
    </row>
    <row r="65" spans="1:6" x14ac:dyDescent="0.35">
      <c r="A65">
        <v>55</v>
      </c>
      <c r="B65" s="4">
        <f t="shared" si="0"/>
        <v>377388.04804521729</v>
      </c>
      <c r="C65" s="4">
        <f t="shared" si="1"/>
        <v>2528.2720939718552</v>
      </c>
      <c r="D65" s="4">
        <f t="shared" si="2"/>
        <v>2044.1852602449271</v>
      </c>
      <c r="E65" s="4">
        <f t="shared" si="3"/>
        <v>484.08683372692803</v>
      </c>
      <c r="F65" s="4">
        <f t="shared" si="4"/>
        <v>376903.96121149039</v>
      </c>
    </row>
    <row r="66" spans="1:6" x14ac:dyDescent="0.35">
      <c r="A66">
        <v>56</v>
      </c>
      <c r="B66" s="4">
        <f t="shared" si="0"/>
        <v>376903.96121149039</v>
      </c>
      <c r="C66" s="4">
        <f t="shared" si="1"/>
        <v>2528.2720939718552</v>
      </c>
      <c r="D66" s="4">
        <f t="shared" si="2"/>
        <v>2041.5631232289063</v>
      </c>
      <c r="E66" s="4">
        <f t="shared" si="3"/>
        <v>486.70897074294885</v>
      </c>
      <c r="F66" s="4">
        <f t="shared" si="4"/>
        <v>376417.25224074745</v>
      </c>
    </row>
    <row r="67" spans="1:6" x14ac:dyDescent="0.35">
      <c r="A67">
        <v>57</v>
      </c>
      <c r="B67" s="4">
        <f t="shared" si="0"/>
        <v>376417.25224074745</v>
      </c>
      <c r="C67" s="4">
        <f t="shared" si="1"/>
        <v>2528.2720939718552</v>
      </c>
      <c r="D67" s="4">
        <f t="shared" si="2"/>
        <v>2038.9267829707153</v>
      </c>
      <c r="E67" s="4">
        <f t="shared" si="3"/>
        <v>489.34531100113986</v>
      </c>
      <c r="F67" s="4">
        <f t="shared" si="4"/>
        <v>375927.90692974633</v>
      </c>
    </row>
    <row r="68" spans="1:6" x14ac:dyDescent="0.35">
      <c r="A68">
        <v>58</v>
      </c>
      <c r="B68" s="4">
        <f t="shared" si="0"/>
        <v>375927.90692974633</v>
      </c>
      <c r="C68" s="4">
        <f t="shared" si="1"/>
        <v>2528.2720939718552</v>
      </c>
      <c r="D68" s="4">
        <f t="shared" si="2"/>
        <v>2036.2761625361261</v>
      </c>
      <c r="E68" s="4">
        <f t="shared" si="3"/>
        <v>491.99593143572906</v>
      </c>
      <c r="F68" s="4">
        <f t="shared" si="4"/>
        <v>375435.9109983106</v>
      </c>
    </row>
    <row r="69" spans="1:6" x14ac:dyDescent="0.35">
      <c r="A69">
        <v>59</v>
      </c>
      <c r="B69" s="4">
        <f t="shared" si="0"/>
        <v>375435.9109983106</v>
      </c>
      <c r="C69" s="4">
        <f t="shared" si="1"/>
        <v>2528.2720939718552</v>
      </c>
      <c r="D69" s="4">
        <f t="shared" si="2"/>
        <v>2033.6111845741825</v>
      </c>
      <c r="E69" s="4">
        <f t="shared" si="3"/>
        <v>494.66090939767264</v>
      </c>
      <c r="F69" s="4">
        <f t="shared" si="4"/>
        <v>374941.25008891296</v>
      </c>
    </row>
    <row r="70" spans="1:6" x14ac:dyDescent="0.35">
      <c r="A70">
        <v>60</v>
      </c>
      <c r="B70" s="4">
        <f t="shared" si="0"/>
        <v>374941.25008891296</v>
      </c>
      <c r="C70" s="4">
        <f t="shared" si="1"/>
        <v>2528.2720939718552</v>
      </c>
      <c r="D70" s="4">
        <f t="shared" si="2"/>
        <v>2030.9317713149453</v>
      </c>
      <c r="E70" s="4">
        <f t="shared" si="3"/>
        <v>497.34032265690985</v>
      </c>
      <c r="F70" s="4">
        <f t="shared" si="4"/>
        <v>374443.90976625605</v>
      </c>
    </row>
    <row r="71" spans="1:6" x14ac:dyDescent="0.35">
      <c r="A71">
        <v>61</v>
      </c>
      <c r="B71" s="4">
        <f t="shared" si="0"/>
        <v>374443.90976625605</v>
      </c>
      <c r="C71" s="4">
        <f t="shared" si="1"/>
        <v>2528.2720939718552</v>
      </c>
      <c r="D71" s="4">
        <f t="shared" si="2"/>
        <v>2028.2378445672205</v>
      </c>
      <c r="E71" s="4">
        <f t="shared" si="3"/>
        <v>500.03424940463469</v>
      </c>
      <c r="F71" s="4">
        <f t="shared" si="4"/>
        <v>373943.87551685143</v>
      </c>
    </row>
    <row r="72" spans="1:6" x14ac:dyDescent="0.35">
      <c r="A72">
        <v>62</v>
      </c>
      <c r="B72" s="4">
        <f t="shared" si="0"/>
        <v>373943.87551685143</v>
      </c>
      <c r="C72" s="4">
        <f t="shared" si="1"/>
        <v>2528.2720939718552</v>
      </c>
      <c r="D72" s="4">
        <f t="shared" si="2"/>
        <v>2025.5293257162787</v>
      </c>
      <c r="E72" s="4">
        <f t="shared" si="3"/>
        <v>502.74276825557649</v>
      </c>
      <c r="F72" s="4">
        <f t="shared" si="4"/>
        <v>373441.13274859585</v>
      </c>
    </row>
    <row r="73" spans="1:6" x14ac:dyDescent="0.35">
      <c r="A73">
        <v>63</v>
      </c>
      <c r="B73" s="4">
        <f t="shared" si="0"/>
        <v>373441.13274859585</v>
      </c>
      <c r="C73" s="4">
        <f t="shared" si="1"/>
        <v>2528.2720939718552</v>
      </c>
      <c r="D73" s="4">
        <f t="shared" si="2"/>
        <v>2022.8061357215608</v>
      </c>
      <c r="E73" s="4">
        <f t="shared" si="3"/>
        <v>505.46595825029431</v>
      </c>
      <c r="F73" s="4">
        <f t="shared" si="4"/>
        <v>372935.66679034557</v>
      </c>
    </row>
    <row r="74" spans="1:6" x14ac:dyDescent="0.35">
      <c r="A74">
        <v>64</v>
      </c>
      <c r="B74" s="4">
        <f t="shared" si="0"/>
        <v>372935.66679034557</v>
      </c>
      <c r="C74" s="4">
        <f t="shared" si="1"/>
        <v>2528.2720939718552</v>
      </c>
      <c r="D74" s="4">
        <f t="shared" si="2"/>
        <v>2020.068195114372</v>
      </c>
      <c r="E74" s="4">
        <f t="shared" si="3"/>
        <v>508.20389885748318</v>
      </c>
      <c r="F74" s="4">
        <f t="shared" si="4"/>
        <v>372427.4628914881</v>
      </c>
    </row>
    <row r="75" spans="1:6" x14ac:dyDescent="0.35">
      <c r="A75">
        <v>65</v>
      </c>
      <c r="B75" s="4">
        <f t="shared" si="0"/>
        <v>372427.4628914881</v>
      </c>
      <c r="C75" s="4">
        <f t="shared" si="1"/>
        <v>2528.2720939718552</v>
      </c>
      <c r="D75" s="4">
        <f t="shared" si="2"/>
        <v>2017.3154239955606</v>
      </c>
      <c r="E75" s="4">
        <f t="shared" si="3"/>
        <v>510.95666997629451</v>
      </c>
      <c r="F75" s="4">
        <f t="shared" si="4"/>
        <v>371916.50622151181</v>
      </c>
    </row>
    <row r="76" spans="1:6" x14ac:dyDescent="0.35">
      <c r="A76">
        <v>66</v>
      </c>
      <c r="B76" s="4">
        <f t="shared" ref="B76:B139" si="5">F75</f>
        <v>371916.50622151181</v>
      </c>
      <c r="C76" s="4">
        <f t="shared" ref="C76:C139" si="6">IF(A76&gt;($B$4*12), "", $B$6)</f>
        <v>2528.2720939718552</v>
      </c>
      <c r="D76" s="4">
        <f t="shared" ref="D76:D139" si="7">IF(B76&lt;=0, 0, B76*($B$3/12))</f>
        <v>2014.547742033189</v>
      </c>
      <c r="E76" s="4">
        <f t="shared" ref="E76:E139" si="8">IF(B76&lt;=0, 0, C76-D76)</f>
        <v>513.72435193866613</v>
      </c>
      <c r="F76" s="4">
        <f t="shared" ref="F76:F139" si="9">IF(B76&lt;=0, 0, B76-E76)</f>
        <v>371402.78186957317</v>
      </c>
    </row>
    <row r="77" spans="1:6" x14ac:dyDescent="0.35">
      <c r="A77">
        <v>67</v>
      </c>
      <c r="B77" s="4">
        <f t="shared" si="5"/>
        <v>371402.78186957317</v>
      </c>
      <c r="C77" s="4">
        <f t="shared" si="6"/>
        <v>2528.2720939718552</v>
      </c>
      <c r="D77" s="4">
        <f t="shared" si="7"/>
        <v>2011.7650684601881</v>
      </c>
      <c r="E77" s="4">
        <f t="shared" si="8"/>
        <v>516.50702551166705</v>
      </c>
      <c r="F77" s="4">
        <f t="shared" si="9"/>
        <v>370886.27484406153</v>
      </c>
    </row>
    <row r="78" spans="1:6" x14ac:dyDescent="0.35">
      <c r="A78">
        <v>68</v>
      </c>
      <c r="B78" s="4">
        <f t="shared" si="5"/>
        <v>370886.27484406153</v>
      </c>
      <c r="C78" s="4">
        <f t="shared" si="6"/>
        <v>2528.2720939718552</v>
      </c>
      <c r="D78" s="4">
        <f t="shared" si="7"/>
        <v>2008.9673220719999</v>
      </c>
      <c r="E78" s="4">
        <f t="shared" si="8"/>
        <v>519.30477189985527</v>
      </c>
      <c r="F78" s="4">
        <f t="shared" si="9"/>
        <v>370366.9700721617</v>
      </c>
    </row>
    <row r="79" spans="1:6" x14ac:dyDescent="0.35">
      <c r="A79">
        <v>69</v>
      </c>
      <c r="B79" s="4">
        <f t="shared" si="5"/>
        <v>370366.9700721617</v>
      </c>
      <c r="C79" s="4">
        <f t="shared" si="6"/>
        <v>2528.2720939718552</v>
      </c>
      <c r="D79" s="4">
        <f t="shared" si="7"/>
        <v>2006.1544212242093</v>
      </c>
      <c r="E79" s="4">
        <f t="shared" si="8"/>
        <v>522.11767274764588</v>
      </c>
      <c r="F79" s="4">
        <f t="shared" si="9"/>
        <v>369844.85239941406</v>
      </c>
    </row>
    <row r="80" spans="1:6" x14ac:dyDescent="0.35">
      <c r="A80">
        <v>70</v>
      </c>
      <c r="B80" s="4">
        <f t="shared" si="5"/>
        <v>369844.85239941406</v>
      </c>
      <c r="C80" s="4">
        <f t="shared" si="6"/>
        <v>2528.2720939718552</v>
      </c>
      <c r="D80" s="4">
        <f t="shared" si="7"/>
        <v>2003.3262838301596</v>
      </c>
      <c r="E80" s="4">
        <f t="shared" si="8"/>
        <v>524.94581014169557</v>
      </c>
      <c r="F80" s="4">
        <f t="shared" si="9"/>
        <v>369319.90658927237</v>
      </c>
    </row>
    <row r="81" spans="1:6" x14ac:dyDescent="0.35">
      <c r="A81">
        <v>71</v>
      </c>
      <c r="B81" s="4">
        <f t="shared" si="5"/>
        <v>369319.90658927237</v>
      </c>
      <c r="C81" s="4">
        <f t="shared" si="6"/>
        <v>2528.2720939718552</v>
      </c>
      <c r="D81" s="4">
        <f t="shared" si="7"/>
        <v>2000.4828273585588</v>
      </c>
      <c r="E81" s="4">
        <f t="shared" si="8"/>
        <v>527.78926661329638</v>
      </c>
      <c r="F81" s="4">
        <f t="shared" si="9"/>
        <v>368792.11732265906</v>
      </c>
    </row>
    <row r="82" spans="1:6" x14ac:dyDescent="0.35">
      <c r="A82">
        <v>72</v>
      </c>
      <c r="B82" s="4">
        <f t="shared" si="5"/>
        <v>368792.11732265906</v>
      </c>
      <c r="C82" s="4">
        <f t="shared" si="6"/>
        <v>2528.2720939718552</v>
      </c>
      <c r="D82" s="4">
        <f t="shared" si="7"/>
        <v>1997.62396883107</v>
      </c>
      <c r="E82" s="4">
        <f t="shared" si="8"/>
        <v>530.64812514078517</v>
      </c>
      <c r="F82" s="4">
        <f t="shared" si="9"/>
        <v>368261.46919751825</v>
      </c>
    </row>
    <row r="83" spans="1:6" x14ac:dyDescent="0.35">
      <c r="A83">
        <v>73</v>
      </c>
      <c r="B83" s="4">
        <f t="shared" si="5"/>
        <v>368261.46919751825</v>
      </c>
      <c r="C83" s="4">
        <f t="shared" si="6"/>
        <v>2528.2720939718552</v>
      </c>
      <c r="D83" s="4">
        <f t="shared" si="7"/>
        <v>1994.7496248198906</v>
      </c>
      <c r="E83" s="4">
        <f t="shared" si="8"/>
        <v>533.52246915196451</v>
      </c>
      <c r="F83" s="4">
        <f t="shared" si="9"/>
        <v>367727.94672836631</v>
      </c>
    </row>
    <row r="84" spans="1:6" x14ac:dyDescent="0.35">
      <c r="A84">
        <v>74</v>
      </c>
      <c r="B84" s="4">
        <f t="shared" si="5"/>
        <v>367727.94672836631</v>
      </c>
      <c r="C84" s="4">
        <f t="shared" si="6"/>
        <v>2528.2720939718552</v>
      </c>
      <c r="D84" s="4">
        <f t="shared" si="7"/>
        <v>1991.8597114453175</v>
      </c>
      <c r="E84" s="4">
        <f t="shared" si="8"/>
        <v>536.41238252653761</v>
      </c>
      <c r="F84" s="4">
        <f t="shared" si="9"/>
        <v>367191.53434583975</v>
      </c>
    </row>
    <row r="85" spans="1:6" x14ac:dyDescent="0.35">
      <c r="A85">
        <v>75</v>
      </c>
      <c r="B85" s="4">
        <f t="shared" si="5"/>
        <v>367191.53434583975</v>
      </c>
      <c r="C85" s="4">
        <f t="shared" si="6"/>
        <v>2528.2720939718552</v>
      </c>
      <c r="D85" s="4">
        <f t="shared" si="7"/>
        <v>1988.9541443732987</v>
      </c>
      <c r="E85" s="4">
        <f t="shared" si="8"/>
        <v>539.31794959855642</v>
      </c>
      <c r="F85" s="4">
        <f t="shared" si="9"/>
        <v>366652.21639624122</v>
      </c>
    </row>
    <row r="86" spans="1:6" x14ac:dyDescent="0.35">
      <c r="A86">
        <v>76</v>
      </c>
      <c r="B86" s="4">
        <f t="shared" si="5"/>
        <v>366652.21639624122</v>
      </c>
      <c r="C86" s="4">
        <f t="shared" si="6"/>
        <v>2528.2720939718552</v>
      </c>
      <c r="D86" s="4">
        <f t="shared" si="7"/>
        <v>1986.0328388129733</v>
      </c>
      <c r="E86" s="4">
        <f t="shared" si="8"/>
        <v>542.23925515888186</v>
      </c>
      <c r="F86" s="4">
        <f t="shared" si="9"/>
        <v>366109.97714108235</v>
      </c>
    </row>
    <row r="87" spans="1:6" x14ac:dyDescent="0.35">
      <c r="A87">
        <v>77</v>
      </c>
      <c r="B87" s="4">
        <f t="shared" si="5"/>
        <v>366109.97714108235</v>
      </c>
      <c r="C87" s="4">
        <f t="shared" si="6"/>
        <v>2528.2720939718552</v>
      </c>
      <c r="D87" s="4">
        <f t="shared" si="7"/>
        <v>1983.0957095141962</v>
      </c>
      <c r="E87" s="4">
        <f t="shared" si="8"/>
        <v>545.17638445765897</v>
      </c>
      <c r="F87" s="4">
        <f t="shared" si="9"/>
        <v>365564.80075662467</v>
      </c>
    </row>
    <row r="88" spans="1:6" x14ac:dyDescent="0.35">
      <c r="A88">
        <v>78</v>
      </c>
      <c r="B88" s="4">
        <f t="shared" si="5"/>
        <v>365564.80075662467</v>
      </c>
      <c r="C88" s="4">
        <f t="shared" si="6"/>
        <v>2528.2720939718552</v>
      </c>
      <c r="D88" s="4">
        <f t="shared" si="7"/>
        <v>1980.1426707650503</v>
      </c>
      <c r="E88" s="4">
        <f t="shared" si="8"/>
        <v>548.12942320680486</v>
      </c>
      <c r="F88" s="4">
        <f t="shared" si="9"/>
        <v>365016.67133341788</v>
      </c>
    </row>
    <row r="89" spans="1:6" x14ac:dyDescent="0.35">
      <c r="A89">
        <v>79</v>
      </c>
      <c r="B89" s="4">
        <f t="shared" si="5"/>
        <v>365016.67133341788</v>
      </c>
      <c r="C89" s="4">
        <f t="shared" si="6"/>
        <v>2528.2720939718552</v>
      </c>
      <c r="D89" s="4">
        <f t="shared" si="7"/>
        <v>1977.1736363893469</v>
      </c>
      <c r="E89" s="4">
        <f t="shared" si="8"/>
        <v>551.09845758250822</v>
      </c>
      <c r="F89" s="4">
        <f t="shared" si="9"/>
        <v>364465.57287583535</v>
      </c>
    </row>
    <row r="90" spans="1:6" x14ac:dyDescent="0.35">
      <c r="A90">
        <v>80</v>
      </c>
      <c r="B90" s="4">
        <f t="shared" si="5"/>
        <v>364465.57287583535</v>
      </c>
      <c r="C90" s="4">
        <f t="shared" si="6"/>
        <v>2528.2720939718552</v>
      </c>
      <c r="D90" s="4">
        <f t="shared" si="7"/>
        <v>1974.1885197441081</v>
      </c>
      <c r="E90" s="4">
        <f t="shared" si="8"/>
        <v>554.08357422774702</v>
      </c>
      <c r="F90" s="4">
        <f t="shared" si="9"/>
        <v>363911.48930160759</v>
      </c>
    </row>
    <row r="91" spans="1:6" x14ac:dyDescent="0.35">
      <c r="A91">
        <v>81</v>
      </c>
      <c r="B91" s="4">
        <f t="shared" si="5"/>
        <v>363911.48930160759</v>
      </c>
      <c r="C91" s="4">
        <f t="shared" si="6"/>
        <v>2528.2720939718552</v>
      </c>
      <c r="D91" s="4">
        <f t="shared" si="7"/>
        <v>1971.1872337170412</v>
      </c>
      <c r="E91" s="4">
        <f t="shared" si="8"/>
        <v>557.08486025481398</v>
      </c>
      <c r="F91" s="4">
        <f t="shared" si="9"/>
        <v>363354.40444135276</v>
      </c>
    </row>
    <row r="92" spans="1:6" x14ac:dyDescent="0.35">
      <c r="A92">
        <v>82</v>
      </c>
      <c r="B92" s="4">
        <f t="shared" si="5"/>
        <v>363354.40444135276</v>
      </c>
      <c r="C92" s="4">
        <f t="shared" si="6"/>
        <v>2528.2720939718552</v>
      </c>
      <c r="D92" s="4">
        <f t="shared" si="7"/>
        <v>1968.1696907239941</v>
      </c>
      <c r="E92" s="4">
        <f t="shared" si="8"/>
        <v>560.10240324786105</v>
      </c>
      <c r="F92" s="4">
        <f t="shared" si="9"/>
        <v>362794.30203810491</v>
      </c>
    </row>
    <row r="93" spans="1:6" x14ac:dyDescent="0.35">
      <c r="A93">
        <v>83</v>
      </c>
      <c r="B93" s="4">
        <f t="shared" si="5"/>
        <v>362794.30203810491</v>
      </c>
      <c r="C93" s="4">
        <f t="shared" si="6"/>
        <v>2528.2720939718552</v>
      </c>
      <c r="D93" s="4">
        <f t="shared" si="7"/>
        <v>1965.1358027064016</v>
      </c>
      <c r="E93" s="4">
        <f t="shared" si="8"/>
        <v>563.13629126545356</v>
      </c>
      <c r="F93" s="4">
        <f t="shared" si="9"/>
        <v>362231.16574683948</v>
      </c>
    </row>
    <row r="94" spans="1:6" x14ac:dyDescent="0.35">
      <c r="A94">
        <v>84</v>
      </c>
      <c r="B94" s="4">
        <f t="shared" si="5"/>
        <v>362231.16574683948</v>
      </c>
      <c r="C94" s="4">
        <f t="shared" si="6"/>
        <v>2528.2720939718552</v>
      </c>
      <c r="D94" s="4">
        <f t="shared" si="7"/>
        <v>1962.085481128714</v>
      </c>
      <c r="E94" s="4">
        <f t="shared" si="8"/>
        <v>566.18661284314112</v>
      </c>
      <c r="F94" s="4">
        <f t="shared" si="9"/>
        <v>361664.97913399636</v>
      </c>
    </row>
    <row r="95" spans="1:6" x14ac:dyDescent="0.35">
      <c r="A95">
        <v>85</v>
      </c>
      <c r="B95" s="4">
        <f t="shared" si="5"/>
        <v>361664.97913399636</v>
      </c>
      <c r="C95" s="4">
        <f t="shared" si="6"/>
        <v>2528.2720939718552</v>
      </c>
      <c r="D95" s="4">
        <f t="shared" si="7"/>
        <v>1959.0186369758137</v>
      </c>
      <c r="E95" s="4">
        <f t="shared" si="8"/>
        <v>569.25345699604145</v>
      </c>
      <c r="F95" s="4">
        <f t="shared" si="9"/>
        <v>361095.7256770003</v>
      </c>
    </row>
    <row r="96" spans="1:6" x14ac:dyDescent="0.35">
      <c r="A96">
        <v>86</v>
      </c>
      <c r="B96" s="4">
        <f t="shared" si="5"/>
        <v>361095.7256770003</v>
      </c>
      <c r="C96" s="4">
        <f t="shared" si="6"/>
        <v>2528.2720939718552</v>
      </c>
      <c r="D96" s="4">
        <f t="shared" si="7"/>
        <v>1955.9351807504183</v>
      </c>
      <c r="E96" s="4">
        <f t="shared" si="8"/>
        <v>572.33691322143682</v>
      </c>
      <c r="F96" s="4">
        <f t="shared" si="9"/>
        <v>360523.38876377884</v>
      </c>
    </row>
    <row r="97" spans="1:6" x14ac:dyDescent="0.35">
      <c r="A97">
        <v>87</v>
      </c>
      <c r="B97" s="4">
        <f t="shared" si="5"/>
        <v>360523.38876377884</v>
      </c>
      <c r="C97" s="4">
        <f t="shared" si="6"/>
        <v>2528.2720939718552</v>
      </c>
      <c r="D97" s="4">
        <f t="shared" si="7"/>
        <v>1952.8350224704689</v>
      </c>
      <c r="E97" s="4">
        <f t="shared" si="8"/>
        <v>575.4370715013863</v>
      </c>
      <c r="F97" s="4">
        <f t="shared" si="9"/>
        <v>359947.95169227745</v>
      </c>
    </row>
    <row r="98" spans="1:6" x14ac:dyDescent="0.35">
      <c r="A98">
        <v>88</v>
      </c>
      <c r="B98" s="4">
        <f t="shared" si="5"/>
        <v>359947.95169227745</v>
      </c>
      <c r="C98" s="4">
        <f t="shared" si="6"/>
        <v>2528.2720939718552</v>
      </c>
      <c r="D98" s="4">
        <f t="shared" si="7"/>
        <v>1949.718071666503</v>
      </c>
      <c r="E98" s="4">
        <f t="shared" si="8"/>
        <v>578.55402230535219</v>
      </c>
      <c r="F98" s="4">
        <f t="shared" si="9"/>
        <v>359369.3976699721</v>
      </c>
    </row>
    <row r="99" spans="1:6" x14ac:dyDescent="0.35">
      <c r="A99">
        <v>89</v>
      </c>
      <c r="B99" s="4">
        <f t="shared" si="5"/>
        <v>359369.3976699721</v>
      </c>
      <c r="C99" s="4">
        <f t="shared" si="6"/>
        <v>2528.2720939718552</v>
      </c>
      <c r="D99" s="4">
        <f t="shared" si="7"/>
        <v>1946.5842373790156</v>
      </c>
      <c r="E99" s="4">
        <f t="shared" si="8"/>
        <v>581.68785659283958</v>
      </c>
      <c r="F99" s="4">
        <f t="shared" si="9"/>
        <v>358787.70981337928</v>
      </c>
    </row>
    <row r="100" spans="1:6" x14ac:dyDescent="0.35">
      <c r="A100">
        <v>90</v>
      </c>
      <c r="B100" s="4">
        <f t="shared" si="5"/>
        <v>358787.70981337928</v>
      </c>
      <c r="C100" s="4">
        <f t="shared" si="6"/>
        <v>2528.2720939718552</v>
      </c>
      <c r="D100" s="4">
        <f t="shared" si="7"/>
        <v>1943.4334281558044</v>
      </c>
      <c r="E100" s="4">
        <f t="shared" si="8"/>
        <v>584.83866581605071</v>
      </c>
      <c r="F100" s="4">
        <f t="shared" si="9"/>
        <v>358202.87114756322</v>
      </c>
    </row>
    <row r="101" spans="1:6" x14ac:dyDescent="0.35">
      <c r="A101">
        <v>91</v>
      </c>
      <c r="B101" s="4">
        <f t="shared" si="5"/>
        <v>358202.87114756322</v>
      </c>
      <c r="C101" s="4">
        <f t="shared" si="6"/>
        <v>2528.2720939718552</v>
      </c>
      <c r="D101" s="4">
        <f t="shared" si="7"/>
        <v>1940.2655520493008</v>
      </c>
      <c r="E101" s="4">
        <f t="shared" si="8"/>
        <v>588.00654192255433</v>
      </c>
      <c r="F101" s="4">
        <f t="shared" si="9"/>
        <v>357614.86460564064</v>
      </c>
    </row>
    <row r="102" spans="1:6" x14ac:dyDescent="0.35">
      <c r="A102">
        <v>92</v>
      </c>
      <c r="B102" s="4">
        <f t="shared" si="5"/>
        <v>357614.86460564064</v>
      </c>
      <c r="C102" s="4">
        <f t="shared" si="6"/>
        <v>2528.2720939718552</v>
      </c>
      <c r="D102" s="4">
        <f t="shared" si="7"/>
        <v>1937.0805166138869</v>
      </c>
      <c r="E102" s="4">
        <f t="shared" si="8"/>
        <v>591.1915773579683</v>
      </c>
      <c r="F102" s="4">
        <f t="shared" si="9"/>
        <v>357023.67302828265</v>
      </c>
    </row>
    <row r="103" spans="1:6" x14ac:dyDescent="0.35">
      <c r="A103">
        <v>93</v>
      </c>
      <c r="B103" s="4">
        <f t="shared" si="5"/>
        <v>357023.67302828265</v>
      </c>
      <c r="C103" s="4">
        <f t="shared" si="6"/>
        <v>2528.2720939718552</v>
      </c>
      <c r="D103" s="4">
        <f t="shared" si="7"/>
        <v>1933.8782289031976</v>
      </c>
      <c r="E103" s="4">
        <f t="shared" si="8"/>
        <v>594.39386506865753</v>
      </c>
      <c r="F103" s="4">
        <f t="shared" si="9"/>
        <v>356429.27916321397</v>
      </c>
    </row>
    <row r="104" spans="1:6" x14ac:dyDescent="0.35">
      <c r="A104">
        <v>94</v>
      </c>
      <c r="B104" s="4">
        <f t="shared" si="5"/>
        <v>356429.27916321397</v>
      </c>
      <c r="C104" s="4">
        <f t="shared" si="6"/>
        <v>2528.2720939718552</v>
      </c>
      <c r="D104" s="4">
        <f t="shared" si="7"/>
        <v>1930.658595467409</v>
      </c>
      <c r="E104" s="4">
        <f t="shared" si="8"/>
        <v>597.61349850444617</v>
      </c>
      <c r="F104" s="4">
        <f t="shared" si="9"/>
        <v>355831.66566470952</v>
      </c>
    </row>
    <row r="105" spans="1:6" x14ac:dyDescent="0.35">
      <c r="A105">
        <v>95</v>
      </c>
      <c r="B105" s="4">
        <f t="shared" si="5"/>
        <v>355831.66566470952</v>
      </c>
      <c r="C105" s="4">
        <f t="shared" si="6"/>
        <v>2528.2720939718552</v>
      </c>
      <c r="D105" s="4">
        <f t="shared" si="7"/>
        <v>1927.42152235051</v>
      </c>
      <c r="E105" s="4">
        <f t="shared" si="8"/>
        <v>600.85057162134513</v>
      </c>
      <c r="F105" s="4">
        <f t="shared" si="9"/>
        <v>355230.8150930882</v>
      </c>
    </row>
    <row r="106" spans="1:6" x14ac:dyDescent="0.35">
      <c r="A106">
        <v>96</v>
      </c>
      <c r="B106" s="4">
        <f t="shared" si="5"/>
        <v>355230.8150930882</v>
      </c>
      <c r="C106" s="4">
        <f t="shared" si="6"/>
        <v>2528.2720939718552</v>
      </c>
      <c r="D106" s="4">
        <f t="shared" si="7"/>
        <v>1924.1669150875612</v>
      </c>
      <c r="E106" s="4">
        <f t="shared" si="8"/>
        <v>604.10517888429399</v>
      </c>
      <c r="F106" s="4">
        <f t="shared" si="9"/>
        <v>354626.70991420391</v>
      </c>
    </row>
    <row r="107" spans="1:6" x14ac:dyDescent="0.35">
      <c r="A107">
        <v>97</v>
      </c>
      <c r="B107" s="4">
        <f t="shared" si="5"/>
        <v>354626.70991420391</v>
      </c>
      <c r="C107" s="4">
        <f t="shared" si="6"/>
        <v>2528.2720939718552</v>
      </c>
      <c r="D107" s="4">
        <f t="shared" si="7"/>
        <v>1920.8946787019379</v>
      </c>
      <c r="E107" s="4">
        <f t="shared" si="8"/>
        <v>607.37741526991726</v>
      </c>
      <c r="F107" s="4">
        <f t="shared" si="9"/>
        <v>354019.332498934</v>
      </c>
    </row>
    <row r="108" spans="1:6" x14ac:dyDescent="0.35">
      <c r="A108">
        <v>98</v>
      </c>
      <c r="B108" s="4">
        <f t="shared" si="5"/>
        <v>354019.332498934</v>
      </c>
      <c r="C108" s="4">
        <f t="shared" si="6"/>
        <v>2528.2720939718552</v>
      </c>
      <c r="D108" s="4">
        <f t="shared" si="7"/>
        <v>1917.6047177025594</v>
      </c>
      <c r="E108" s="4">
        <f t="shared" si="8"/>
        <v>610.6673762692958</v>
      </c>
      <c r="F108" s="4">
        <f t="shared" si="9"/>
        <v>353408.66512266471</v>
      </c>
    </row>
    <row r="109" spans="1:6" x14ac:dyDescent="0.35">
      <c r="A109">
        <v>99</v>
      </c>
      <c r="B109" s="4">
        <f t="shared" si="5"/>
        <v>353408.66512266471</v>
      </c>
      <c r="C109" s="4">
        <f t="shared" si="6"/>
        <v>2528.2720939718552</v>
      </c>
      <c r="D109" s="4">
        <f t="shared" si="7"/>
        <v>1914.2969360811005</v>
      </c>
      <c r="E109" s="4">
        <f t="shared" si="8"/>
        <v>613.97515789075464</v>
      </c>
      <c r="F109" s="4">
        <f t="shared" si="9"/>
        <v>352794.68996477395</v>
      </c>
    </row>
    <row r="110" spans="1:6" x14ac:dyDescent="0.35">
      <c r="A110">
        <v>100</v>
      </c>
      <c r="B110" s="4">
        <f t="shared" si="5"/>
        <v>352794.68996477395</v>
      </c>
      <c r="C110" s="4">
        <f t="shared" si="6"/>
        <v>2528.2720939718552</v>
      </c>
      <c r="D110" s="4">
        <f t="shared" si="7"/>
        <v>1910.9712373091922</v>
      </c>
      <c r="E110" s="4">
        <f t="shared" si="8"/>
        <v>617.30085666266291</v>
      </c>
      <c r="F110" s="4">
        <f t="shared" si="9"/>
        <v>352177.38910811127</v>
      </c>
    </row>
    <row r="111" spans="1:6" x14ac:dyDescent="0.35">
      <c r="A111">
        <v>101</v>
      </c>
      <c r="B111" s="4">
        <f t="shared" si="5"/>
        <v>352177.38910811127</v>
      </c>
      <c r="C111" s="4">
        <f t="shared" si="6"/>
        <v>2528.2720939718552</v>
      </c>
      <c r="D111" s="4">
        <f t="shared" si="7"/>
        <v>1907.6275243356029</v>
      </c>
      <c r="E111" s="4">
        <f t="shared" si="8"/>
        <v>620.6445696362523</v>
      </c>
      <c r="F111" s="4">
        <f t="shared" si="9"/>
        <v>351556.744538475</v>
      </c>
    </row>
    <row r="112" spans="1:6" x14ac:dyDescent="0.35">
      <c r="A112">
        <v>102</v>
      </c>
      <c r="B112" s="4">
        <f t="shared" si="5"/>
        <v>351556.744538475</v>
      </c>
      <c r="C112" s="4">
        <f t="shared" si="6"/>
        <v>2528.2720939718552</v>
      </c>
      <c r="D112" s="4">
        <f t="shared" si="7"/>
        <v>1904.2656995834063</v>
      </c>
      <c r="E112" s="4">
        <f t="shared" si="8"/>
        <v>624.00639438844883</v>
      </c>
      <c r="F112" s="4">
        <f t="shared" si="9"/>
        <v>350932.73814408656</v>
      </c>
    </row>
    <row r="113" spans="1:6" x14ac:dyDescent="0.35">
      <c r="A113">
        <v>103</v>
      </c>
      <c r="B113" s="4">
        <f t="shared" si="5"/>
        <v>350932.73814408656</v>
      </c>
      <c r="C113" s="4">
        <f t="shared" si="6"/>
        <v>2528.2720939718552</v>
      </c>
      <c r="D113" s="4">
        <f t="shared" si="7"/>
        <v>1900.8856649471356</v>
      </c>
      <c r="E113" s="4">
        <f t="shared" si="8"/>
        <v>627.38642902471952</v>
      </c>
      <c r="F113" s="4">
        <f t="shared" si="9"/>
        <v>350305.35171506181</v>
      </c>
    </row>
    <row r="114" spans="1:6" x14ac:dyDescent="0.35">
      <c r="A114">
        <v>104</v>
      </c>
      <c r="B114" s="4">
        <f t="shared" si="5"/>
        <v>350305.35171506181</v>
      </c>
      <c r="C114" s="4">
        <f t="shared" si="6"/>
        <v>2528.2720939718552</v>
      </c>
      <c r="D114" s="4">
        <f t="shared" si="7"/>
        <v>1897.4873217899183</v>
      </c>
      <c r="E114" s="4">
        <f t="shared" si="8"/>
        <v>630.78477218193689</v>
      </c>
      <c r="F114" s="4">
        <f t="shared" si="9"/>
        <v>349674.56694287987</v>
      </c>
    </row>
    <row r="115" spans="1:6" x14ac:dyDescent="0.35">
      <c r="A115">
        <v>105</v>
      </c>
      <c r="B115" s="4">
        <f t="shared" si="5"/>
        <v>349674.56694287987</v>
      </c>
      <c r="C115" s="4">
        <f t="shared" si="6"/>
        <v>2528.2720939718552</v>
      </c>
      <c r="D115" s="4">
        <f t="shared" si="7"/>
        <v>1894.0705709405993</v>
      </c>
      <c r="E115" s="4">
        <f t="shared" si="8"/>
        <v>634.20152303125587</v>
      </c>
      <c r="F115" s="4">
        <f t="shared" si="9"/>
        <v>349040.36541984859</v>
      </c>
    </row>
    <row r="116" spans="1:6" x14ac:dyDescent="0.35">
      <c r="A116">
        <v>106</v>
      </c>
      <c r="B116" s="4">
        <f t="shared" si="5"/>
        <v>349040.36541984859</v>
      </c>
      <c r="C116" s="4">
        <f t="shared" si="6"/>
        <v>2528.2720939718552</v>
      </c>
      <c r="D116" s="4">
        <f t="shared" si="7"/>
        <v>1890.6353126908466</v>
      </c>
      <c r="E116" s="4">
        <f t="shared" si="8"/>
        <v>637.63678128100855</v>
      </c>
      <c r="F116" s="4">
        <f t="shared" si="9"/>
        <v>348402.72863856755</v>
      </c>
    </row>
    <row r="117" spans="1:6" x14ac:dyDescent="0.35">
      <c r="A117">
        <v>107</v>
      </c>
      <c r="B117" s="4">
        <f t="shared" si="5"/>
        <v>348402.72863856755</v>
      </c>
      <c r="C117" s="4">
        <f t="shared" si="6"/>
        <v>2528.2720939718552</v>
      </c>
      <c r="D117" s="4">
        <f t="shared" si="7"/>
        <v>1887.1814467922409</v>
      </c>
      <c r="E117" s="4">
        <f t="shared" si="8"/>
        <v>641.09064717961428</v>
      </c>
      <c r="F117" s="4">
        <f t="shared" si="9"/>
        <v>347761.63799138792</v>
      </c>
    </row>
    <row r="118" spans="1:6" x14ac:dyDescent="0.35">
      <c r="A118">
        <v>108</v>
      </c>
      <c r="B118" s="4">
        <f t="shared" si="5"/>
        <v>347761.63799138792</v>
      </c>
      <c r="C118" s="4">
        <f t="shared" si="6"/>
        <v>2528.2720939718552</v>
      </c>
      <c r="D118" s="4">
        <f t="shared" si="7"/>
        <v>1883.7088724533512</v>
      </c>
      <c r="E118" s="4">
        <f t="shared" si="8"/>
        <v>644.56322151850395</v>
      </c>
      <c r="F118" s="4">
        <f t="shared" si="9"/>
        <v>347117.07476986939</v>
      </c>
    </row>
    <row r="119" spans="1:6" x14ac:dyDescent="0.35">
      <c r="A119">
        <v>109</v>
      </c>
      <c r="B119" s="4">
        <f t="shared" si="5"/>
        <v>347117.07476986939</v>
      </c>
      <c r="C119" s="4">
        <f t="shared" si="6"/>
        <v>2528.2720939718552</v>
      </c>
      <c r="D119" s="4">
        <f t="shared" si="7"/>
        <v>1880.2174883367925</v>
      </c>
      <c r="E119" s="4">
        <f t="shared" si="8"/>
        <v>648.05460563506267</v>
      </c>
      <c r="F119" s="4">
        <f t="shared" si="9"/>
        <v>346469.02016423433</v>
      </c>
    </row>
    <row r="120" spans="1:6" x14ac:dyDescent="0.35">
      <c r="A120">
        <v>110</v>
      </c>
      <c r="B120" s="4">
        <f t="shared" si="5"/>
        <v>346469.02016423433</v>
      </c>
      <c r="C120" s="4">
        <f t="shared" si="6"/>
        <v>2528.2720939718552</v>
      </c>
      <c r="D120" s="4">
        <f t="shared" si="7"/>
        <v>1876.7071925562693</v>
      </c>
      <c r="E120" s="4">
        <f t="shared" si="8"/>
        <v>651.56490141558584</v>
      </c>
      <c r="F120" s="4">
        <f t="shared" si="9"/>
        <v>345817.45526281872</v>
      </c>
    </row>
    <row r="121" spans="1:6" x14ac:dyDescent="0.35">
      <c r="A121">
        <v>111</v>
      </c>
      <c r="B121" s="4">
        <f t="shared" si="5"/>
        <v>345817.45526281872</v>
      </c>
      <c r="C121" s="4">
        <f t="shared" si="6"/>
        <v>2528.2720939718552</v>
      </c>
      <c r="D121" s="4">
        <f t="shared" si="7"/>
        <v>1873.1778826736015</v>
      </c>
      <c r="E121" s="4">
        <f t="shared" si="8"/>
        <v>655.09421129825364</v>
      </c>
      <c r="F121" s="4">
        <f t="shared" si="9"/>
        <v>345162.36105152045</v>
      </c>
    </row>
    <row r="122" spans="1:6" x14ac:dyDescent="0.35">
      <c r="A122">
        <v>112</v>
      </c>
      <c r="B122" s="4">
        <f t="shared" si="5"/>
        <v>345162.36105152045</v>
      </c>
      <c r="C122" s="4">
        <f t="shared" si="6"/>
        <v>2528.2720939718552</v>
      </c>
      <c r="D122" s="4">
        <f t="shared" si="7"/>
        <v>1869.6294556957359</v>
      </c>
      <c r="E122" s="4">
        <f t="shared" si="8"/>
        <v>658.64263827611921</v>
      </c>
      <c r="F122" s="4">
        <f t="shared" si="9"/>
        <v>344503.71841324435</v>
      </c>
    </row>
    <row r="123" spans="1:6" x14ac:dyDescent="0.35">
      <c r="A123">
        <v>113</v>
      </c>
      <c r="B123" s="4">
        <f t="shared" si="5"/>
        <v>344503.71841324435</v>
      </c>
      <c r="C123" s="4">
        <f t="shared" si="6"/>
        <v>2528.2720939718552</v>
      </c>
      <c r="D123" s="4">
        <f t="shared" si="7"/>
        <v>1866.0618080717402</v>
      </c>
      <c r="E123" s="4">
        <f t="shared" si="8"/>
        <v>662.21028590011497</v>
      </c>
      <c r="F123" s="4">
        <f t="shared" si="9"/>
        <v>343841.50812734425</v>
      </c>
    </row>
    <row r="124" spans="1:6" x14ac:dyDescent="0.35">
      <c r="A124">
        <v>114</v>
      </c>
      <c r="B124" s="4">
        <f t="shared" si="5"/>
        <v>343841.50812734425</v>
      </c>
      <c r="C124" s="4">
        <f t="shared" si="6"/>
        <v>2528.2720939718552</v>
      </c>
      <c r="D124" s="4">
        <f t="shared" si="7"/>
        <v>1862.4748356897815</v>
      </c>
      <c r="E124" s="4">
        <f t="shared" si="8"/>
        <v>665.7972582820737</v>
      </c>
      <c r="F124" s="4">
        <f t="shared" si="9"/>
        <v>343175.71086906217</v>
      </c>
    </row>
    <row r="125" spans="1:6" x14ac:dyDescent="0.35">
      <c r="A125">
        <v>115</v>
      </c>
      <c r="B125" s="4">
        <f t="shared" si="5"/>
        <v>343175.71086906217</v>
      </c>
      <c r="C125" s="4">
        <f t="shared" si="6"/>
        <v>2528.2720939718552</v>
      </c>
      <c r="D125" s="4">
        <f t="shared" si="7"/>
        <v>1858.8684338740868</v>
      </c>
      <c r="E125" s="4">
        <f t="shared" si="8"/>
        <v>669.40366009776835</v>
      </c>
      <c r="F125" s="4">
        <f t="shared" si="9"/>
        <v>342506.30720896443</v>
      </c>
    </row>
    <row r="126" spans="1:6" x14ac:dyDescent="0.35">
      <c r="A126">
        <v>116</v>
      </c>
      <c r="B126" s="4">
        <f t="shared" si="5"/>
        <v>342506.30720896443</v>
      </c>
      <c r="C126" s="4">
        <f t="shared" si="6"/>
        <v>2528.2720939718552</v>
      </c>
      <c r="D126" s="4">
        <f t="shared" si="7"/>
        <v>1855.2424973818906</v>
      </c>
      <c r="E126" s="4">
        <f t="shared" si="8"/>
        <v>673.02959658996451</v>
      </c>
      <c r="F126" s="4">
        <f t="shared" si="9"/>
        <v>341833.27761237446</v>
      </c>
    </row>
    <row r="127" spans="1:6" x14ac:dyDescent="0.35">
      <c r="A127">
        <v>117</v>
      </c>
      <c r="B127" s="4">
        <f t="shared" si="5"/>
        <v>341833.27761237446</v>
      </c>
      <c r="C127" s="4">
        <f t="shared" si="6"/>
        <v>2528.2720939718552</v>
      </c>
      <c r="D127" s="4">
        <f t="shared" si="7"/>
        <v>1851.5969204003618</v>
      </c>
      <c r="E127" s="4">
        <f t="shared" si="8"/>
        <v>676.67517357149336</v>
      </c>
      <c r="F127" s="4">
        <f t="shared" si="9"/>
        <v>341156.60243880295</v>
      </c>
    </row>
    <row r="128" spans="1:6" x14ac:dyDescent="0.35">
      <c r="A128">
        <v>118</v>
      </c>
      <c r="B128" s="4">
        <f t="shared" si="5"/>
        <v>341156.60243880295</v>
      </c>
      <c r="C128" s="4">
        <f t="shared" si="6"/>
        <v>2528.2720939718552</v>
      </c>
      <c r="D128" s="4">
        <f t="shared" si="7"/>
        <v>1847.931596543516</v>
      </c>
      <c r="E128" s="4">
        <f t="shared" si="8"/>
        <v>680.34049742833918</v>
      </c>
      <c r="F128" s="4">
        <f t="shared" si="9"/>
        <v>340476.26194137463</v>
      </c>
    </row>
    <row r="129" spans="1:6" x14ac:dyDescent="0.35">
      <c r="A129">
        <v>119</v>
      </c>
      <c r="B129" s="4">
        <f t="shared" si="5"/>
        <v>340476.26194137463</v>
      </c>
      <c r="C129" s="4">
        <f t="shared" si="6"/>
        <v>2528.2720939718552</v>
      </c>
      <c r="D129" s="4">
        <f t="shared" si="7"/>
        <v>1844.2464188491126</v>
      </c>
      <c r="E129" s="4">
        <f t="shared" si="8"/>
        <v>684.02567512274254</v>
      </c>
      <c r="F129" s="4">
        <f t="shared" si="9"/>
        <v>339792.23626625189</v>
      </c>
    </row>
    <row r="130" spans="1:6" x14ac:dyDescent="0.35">
      <c r="A130">
        <v>120</v>
      </c>
      <c r="B130" s="4">
        <f t="shared" si="5"/>
        <v>339792.23626625189</v>
      </c>
      <c r="C130" s="4">
        <f t="shared" si="6"/>
        <v>2528.2720939718552</v>
      </c>
      <c r="D130" s="4">
        <f t="shared" si="7"/>
        <v>1840.5412797755312</v>
      </c>
      <c r="E130" s="4">
        <f t="shared" si="8"/>
        <v>687.73081419632399</v>
      </c>
      <c r="F130" s="4">
        <f t="shared" si="9"/>
        <v>339104.50545205554</v>
      </c>
    </row>
    <row r="131" spans="1:6" x14ac:dyDescent="0.35">
      <c r="A131">
        <v>121</v>
      </c>
      <c r="B131" s="4">
        <f t="shared" si="5"/>
        <v>339104.50545205554</v>
      </c>
      <c r="C131" s="4">
        <f t="shared" si="6"/>
        <v>2528.2720939718552</v>
      </c>
      <c r="D131" s="4">
        <f t="shared" si="7"/>
        <v>1836.8160711986343</v>
      </c>
      <c r="E131" s="4">
        <f t="shared" si="8"/>
        <v>691.45602277322087</v>
      </c>
      <c r="F131" s="4">
        <f t="shared" si="9"/>
        <v>338413.04942928231</v>
      </c>
    </row>
    <row r="132" spans="1:6" x14ac:dyDescent="0.35">
      <c r="A132">
        <v>122</v>
      </c>
      <c r="B132" s="4">
        <f t="shared" si="5"/>
        <v>338413.04942928231</v>
      </c>
      <c r="C132" s="4">
        <f t="shared" si="6"/>
        <v>2528.2720939718552</v>
      </c>
      <c r="D132" s="4">
        <f t="shared" si="7"/>
        <v>1833.0706844086126</v>
      </c>
      <c r="E132" s="4">
        <f t="shared" si="8"/>
        <v>695.20140956324258</v>
      </c>
      <c r="F132" s="4">
        <f t="shared" si="9"/>
        <v>337717.84801971907</v>
      </c>
    </row>
    <row r="133" spans="1:6" x14ac:dyDescent="0.35">
      <c r="A133">
        <v>123</v>
      </c>
      <c r="B133" s="4">
        <f t="shared" si="5"/>
        <v>337717.84801971907</v>
      </c>
      <c r="C133" s="4">
        <f t="shared" si="6"/>
        <v>2528.2720939718552</v>
      </c>
      <c r="D133" s="4">
        <f t="shared" si="7"/>
        <v>1829.3050101068118</v>
      </c>
      <c r="E133" s="4">
        <f t="shared" si="8"/>
        <v>698.96708386504338</v>
      </c>
      <c r="F133" s="4">
        <f t="shared" si="9"/>
        <v>337018.88093585405</v>
      </c>
    </row>
    <row r="134" spans="1:6" x14ac:dyDescent="0.35">
      <c r="A134">
        <v>124</v>
      </c>
      <c r="B134" s="4">
        <f t="shared" si="5"/>
        <v>337018.88093585405</v>
      </c>
      <c r="C134" s="4">
        <f t="shared" si="6"/>
        <v>2528.2720939718552</v>
      </c>
      <c r="D134" s="4">
        <f t="shared" si="7"/>
        <v>1825.5189384025427</v>
      </c>
      <c r="E134" s="4">
        <f t="shared" si="8"/>
        <v>702.75315556931241</v>
      </c>
      <c r="F134" s="4">
        <f t="shared" si="9"/>
        <v>336316.12778028473</v>
      </c>
    </row>
    <row r="135" spans="1:6" x14ac:dyDescent="0.35">
      <c r="A135">
        <v>125</v>
      </c>
      <c r="B135" s="4">
        <f t="shared" si="5"/>
        <v>336316.12778028473</v>
      </c>
      <c r="C135" s="4">
        <f t="shared" si="6"/>
        <v>2528.2720939718552</v>
      </c>
      <c r="D135" s="4">
        <f t="shared" si="7"/>
        <v>1821.7123588098757</v>
      </c>
      <c r="E135" s="4">
        <f t="shared" si="8"/>
        <v>706.55973516197946</v>
      </c>
      <c r="F135" s="4">
        <f t="shared" si="9"/>
        <v>335609.56804512278</v>
      </c>
    </row>
    <row r="136" spans="1:6" x14ac:dyDescent="0.35">
      <c r="A136">
        <v>126</v>
      </c>
      <c r="B136" s="4">
        <f t="shared" si="5"/>
        <v>335609.56804512278</v>
      </c>
      <c r="C136" s="4">
        <f t="shared" si="6"/>
        <v>2528.2720939718552</v>
      </c>
      <c r="D136" s="4">
        <f t="shared" si="7"/>
        <v>1817.8851602444151</v>
      </c>
      <c r="E136" s="4">
        <f t="shared" si="8"/>
        <v>710.38693372744001</v>
      </c>
      <c r="F136" s="4">
        <f t="shared" si="9"/>
        <v>334899.18111139536</v>
      </c>
    </row>
    <row r="137" spans="1:6" x14ac:dyDescent="0.35">
      <c r="A137">
        <v>127</v>
      </c>
      <c r="B137" s="4">
        <f t="shared" si="5"/>
        <v>334899.18111139536</v>
      </c>
      <c r="C137" s="4">
        <f t="shared" si="6"/>
        <v>2528.2720939718552</v>
      </c>
      <c r="D137" s="4">
        <f t="shared" si="7"/>
        <v>1814.0372310200582</v>
      </c>
      <c r="E137" s="4">
        <f t="shared" si="8"/>
        <v>714.23486295179691</v>
      </c>
      <c r="F137" s="4">
        <f t="shared" si="9"/>
        <v>334184.94624844356</v>
      </c>
    </row>
    <row r="138" spans="1:6" x14ac:dyDescent="0.35">
      <c r="A138">
        <v>128</v>
      </c>
      <c r="B138" s="4">
        <f t="shared" si="5"/>
        <v>334184.94624844356</v>
      </c>
      <c r="C138" s="4">
        <f t="shared" si="6"/>
        <v>2528.2720939718552</v>
      </c>
      <c r="D138" s="4">
        <f t="shared" si="7"/>
        <v>1810.168458845736</v>
      </c>
      <c r="E138" s="4">
        <f t="shared" si="8"/>
        <v>718.10363512611912</v>
      </c>
      <c r="F138" s="4">
        <f t="shared" si="9"/>
        <v>333466.84261331742</v>
      </c>
    </row>
    <row r="139" spans="1:6" x14ac:dyDescent="0.35">
      <c r="A139">
        <v>129</v>
      </c>
      <c r="B139" s="4">
        <f t="shared" si="5"/>
        <v>333466.84261331742</v>
      </c>
      <c r="C139" s="4">
        <f t="shared" si="6"/>
        <v>2528.2720939718552</v>
      </c>
      <c r="D139" s="4">
        <f t="shared" si="7"/>
        <v>1806.2787308221361</v>
      </c>
      <c r="E139" s="4">
        <f t="shared" si="8"/>
        <v>721.99336314971902</v>
      </c>
      <c r="F139" s="4">
        <f t="shared" si="9"/>
        <v>332744.84925016772</v>
      </c>
    </row>
    <row r="140" spans="1:6" x14ac:dyDescent="0.35">
      <c r="A140">
        <v>130</v>
      </c>
      <c r="B140" s="4">
        <f t="shared" ref="B140:B203" si="10">F139</f>
        <v>332744.84925016772</v>
      </c>
      <c r="C140" s="4">
        <f t="shared" ref="C140:C203" si="11">IF(A140&gt;($B$4*12), "", $B$6)</f>
        <v>2528.2720939718552</v>
      </c>
      <c r="D140" s="4">
        <f t="shared" ref="D140:D203" si="12">IF(B140&lt;=0, 0, B140*($B$3/12))</f>
        <v>1802.3679334384085</v>
      </c>
      <c r="E140" s="4">
        <f t="shared" ref="E140:E203" si="13">IF(B140&lt;=0, 0, C140-D140)</f>
        <v>725.90416053344666</v>
      </c>
      <c r="F140" s="4">
        <f t="shared" ref="F140:F203" si="14">IF(B140&lt;=0, 0, B140-E140)</f>
        <v>332018.94508963428</v>
      </c>
    </row>
    <row r="141" spans="1:6" x14ac:dyDescent="0.35">
      <c r="A141">
        <v>131</v>
      </c>
      <c r="B141" s="4">
        <f t="shared" si="10"/>
        <v>332018.94508963428</v>
      </c>
      <c r="C141" s="4">
        <f t="shared" si="11"/>
        <v>2528.2720939718552</v>
      </c>
      <c r="D141" s="4">
        <f t="shared" si="12"/>
        <v>1798.4359525688524</v>
      </c>
      <c r="E141" s="4">
        <f t="shared" si="13"/>
        <v>729.83614140300278</v>
      </c>
      <c r="F141" s="4">
        <f t="shared" si="14"/>
        <v>331289.10894823127</v>
      </c>
    </row>
    <row r="142" spans="1:6" x14ac:dyDescent="0.35">
      <c r="A142">
        <v>132</v>
      </c>
      <c r="B142" s="4">
        <f t="shared" si="10"/>
        <v>331289.10894823127</v>
      </c>
      <c r="C142" s="4">
        <f t="shared" si="11"/>
        <v>2528.2720939718552</v>
      </c>
      <c r="D142" s="4">
        <f t="shared" si="12"/>
        <v>1794.4826734695862</v>
      </c>
      <c r="E142" s="4">
        <f t="shared" si="13"/>
        <v>733.78942050226897</v>
      </c>
      <c r="F142" s="4">
        <f t="shared" si="14"/>
        <v>330555.31952772901</v>
      </c>
    </row>
    <row r="143" spans="1:6" x14ac:dyDescent="0.35">
      <c r="A143">
        <v>133</v>
      </c>
      <c r="B143" s="4">
        <f t="shared" si="10"/>
        <v>330555.31952772901</v>
      </c>
      <c r="C143" s="4">
        <f t="shared" si="11"/>
        <v>2528.2720939718552</v>
      </c>
      <c r="D143" s="4">
        <f t="shared" si="12"/>
        <v>1790.5079807751988</v>
      </c>
      <c r="E143" s="4">
        <f t="shared" si="13"/>
        <v>737.76411319665635</v>
      </c>
      <c r="F143" s="4">
        <f t="shared" si="14"/>
        <v>329817.55541453237</v>
      </c>
    </row>
    <row r="144" spans="1:6" x14ac:dyDescent="0.35">
      <c r="A144">
        <v>134</v>
      </c>
      <c r="B144" s="4">
        <f t="shared" si="10"/>
        <v>329817.55541453237</v>
      </c>
      <c r="C144" s="4">
        <f t="shared" si="11"/>
        <v>2528.2720939718552</v>
      </c>
      <c r="D144" s="4">
        <f t="shared" si="12"/>
        <v>1786.5117584953837</v>
      </c>
      <c r="E144" s="4">
        <f t="shared" si="13"/>
        <v>741.76033547647148</v>
      </c>
      <c r="F144" s="4">
        <f t="shared" si="14"/>
        <v>329075.79507905588</v>
      </c>
    </row>
    <row r="145" spans="1:6" x14ac:dyDescent="0.35">
      <c r="A145">
        <v>135</v>
      </c>
      <c r="B145" s="4">
        <f t="shared" si="10"/>
        <v>329075.79507905588</v>
      </c>
      <c r="C145" s="4">
        <f t="shared" si="11"/>
        <v>2528.2720939718552</v>
      </c>
      <c r="D145" s="4">
        <f t="shared" si="12"/>
        <v>1782.4938900115528</v>
      </c>
      <c r="E145" s="4">
        <f t="shared" si="13"/>
        <v>745.77820396030233</v>
      </c>
      <c r="F145" s="4">
        <f t="shared" si="14"/>
        <v>328330.01687509561</v>
      </c>
    </row>
    <row r="146" spans="1:6" x14ac:dyDescent="0.35">
      <c r="A146">
        <v>136</v>
      </c>
      <c r="B146" s="4">
        <f t="shared" si="10"/>
        <v>328330.01687509561</v>
      </c>
      <c r="C146" s="4">
        <f t="shared" si="11"/>
        <v>2528.2720939718552</v>
      </c>
      <c r="D146" s="4">
        <f t="shared" si="12"/>
        <v>1778.4542580734346</v>
      </c>
      <c r="E146" s="4">
        <f t="shared" si="13"/>
        <v>749.81783589842053</v>
      </c>
      <c r="F146" s="4">
        <f t="shared" si="14"/>
        <v>327580.19903919718</v>
      </c>
    </row>
    <row r="147" spans="1:6" x14ac:dyDescent="0.35">
      <c r="A147">
        <v>137</v>
      </c>
      <c r="B147" s="4">
        <f t="shared" si="10"/>
        <v>327580.19903919718</v>
      </c>
      <c r="C147" s="4">
        <f t="shared" si="11"/>
        <v>2528.2720939718552</v>
      </c>
      <c r="D147" s="4">
        <f t="shared" si="12"/>
        <v>1774.3927447956514</v>
      </c>
      <c r="E147" s="4">
        <f t="shared" si="13"/>
        <v>753.87934917620373</v>
      </c>
      <c r="F147" s="4">
        <f t="shared" si="14"/>
        <v>326826.31969002099</v>
      </c>
    </row>
    <row r="148" spans="1:6" x14ac:dyDescent="0.35">
      <c r="A148">
        <v>138</v>
      </c>
      <c r="B148" s="4">
        <f t="shared" si="10"/>
        <v>326826.31969002099</v>
      </c>
      <c r="C148" s="4">
        <f t="shared" si="11"/>
        <v>2528.2720939718552</v>
      </c>
      <c r="D148" s="4">
        <f t="shared" si="12"/>
        <v>1770.3092316542804</v>
      </c>
      <c r="E148" s="4">
        <f t="shared" si="13"/>
        <v>757.96286231757472</v>
      </c>
      <c r="F148" s="4">
        <f t="shared" si="14"/>
        <v>326068.35682770342</v>
      </c>
    </row>
    <row r="149" spans="1:6" x14ac:dyDescent="0.35">
      <c r="A149">
        <v>139</v>
      </c>
      <c r="B149" s="4">
        <f t="shared" si="10"/>
        <v>326068.35682770342</v>
      </c>
      <c r="C149" s="4">
        <f t="shared" si="11"/>
        <v>2528.2720939718552</v>
      </c>
      <c r="D149" s="4">
        <f t="shared" si="12"/>
        <v>1766.2035994833936</v>
      </c>
      <c r="E149" s="4">
        <f t="shared" si="13"/>
        <v>762.06849448846151</v>
      </c>
      <c r="F149" s="4">
        <f t="shared" si="14"/>
        <v>325306.28833321494</v>
      </c>
    </row>
    <row r="150" spans="1:6" x14ac:dyDescent="0.35">
      <c r="A150">
        <v>140</v>
      </c>
      <c r="B150" s="4">
        <f t="shared" si="10"/>
        <v>325306.28833321494</v>
      </c>
      <c r="C150" s="4">
        <f t="shared" si="11"/>
        <v>2528.2720939718552</v>
      </c>
      <c r="D150" s="4">
        <f t="shared" si="12"/>
        <v>1762.075728471581</v>
      </c>
      <c r="E150" s="4">
        <f t="shared" si="13"/>
        <v>766.19636550027417</v>
      </c>
      <c r="F150" s="4">
        <f t="shared" si="14"/>
        <v>324540.09196771466</v>
      </c>
    </row>
    <row r="151" spans="1:6" x14ac:dyDescent="0.35">
      <c r="A151">
        <v>141</v>
      </c>
      <c r="B151" s="4">
        <f t="shared" si="10"/>
        <v>324540.09196771466</v>
      </c>
      <c r="C151" s="4">
        <f t="shared" si="11"/>
        <v>2528.2720939718552</v>
      </c>
      <c r="D151" s="4">
        <f t="shared" si="12"/>
        <v>1757.9254981584545</v>
      </c>
      <c r="E151" s="4">
        <f t="shared" si="13"/>
        <v>770.34659581340065</v>
      </c>
      <c r="F151" s="4">
        <f t="shared" si="14"/>
        <v>323769.74537190126</v>
      </c>
    </row>
    <row r="152" spans="1:6" x14ac:dyDescent="0.35">
      <c r="A152">
        <v>142</v>
      </c>
      <c r="B152" s="4">
        <f t="shared" si="10"/>
        <v>323769.74537190126</v>
      </c>
      <c r="C152" s="4">
        <f t="shared" si="11"/>
        <v>2528.2720939718552</v>
      </c>
      <c r="D152" s="4">
        <f t="shared" si="12"/>
        <v>1753.7527874311318</v>
      </c>
      <c r="E152" s="4">
        <f t="shared" si="13"/>
        <v>774.51930654072339</v>
      </c>
      <c r="F152" s="4">
        <f t="shared" si="14"/>
        <v>322995.22606536053</v>
      </c>
    </row>
    <row r="153" spans="1:6" x14ac:dyDescent="0.35">
      <c r="A153">
        <v>143</v>
      </c>
      <c r="B153" s="4">
        <f t="shared" si="10"/>
        <v>322995.22606536053</v>
      </c>
      <c r="C153" s="4">
        <f t="shared" si="11"/>
        <v>2528.2720939718552</v>
      </c>
      <c r="D153" s="4">
        <f t="shared" si="12"/>
        <v>1749.557474520703</v>
      </c>
      <c r="E153" s="4">
        <f t="shared" si="13"/>
        <v>778.7146194511522</v>
      </c>
      <c r="F153" s="4">
        <f t="shared" si="14"/>
        <v>322216.51144590939</v>
      </c>
    </row>
    <row r="154" spans="1:6" x14ac:dyDescent="0.35">
      <c r="A154">
        <v>144</v>
      </c>
      <c r="B154" s="4">
        <f t="shared" si="10"/>
        <v>322216.51144590939</v>
      </c>
      <c r="C154" s="4">
        <f t="shared" si="11"/>
        <v>2528.2720939718552</v>
      </c>
      <c r="D154" s="4">
        <f t="shared" si="12"/>
        <v>1745.3394369986759</v>
      </c>
      <c r="E154" s="4">
        <f t="shared" si="13"/>
        <v>782.93265697317929</v>
      </c>
      <c r="F154" s="4">
        <f t="shared" si="14"/>
        <v>321433.5787889362</v>
      </c>
    </row>
    <row r="155" spans="1:6" x14ac:dyDescent="0.35">
      <c r="A155">
        <v>145</v>
      </c>
      <c r="B155" s="4">
        <f t="shared" si="10"/>
        <v>321433.5787889362</v>
      </c>
      <c r="C155" s="4">
        <f t="shared" si="11"/>
        <v>2528.2720939718552</v>
      </c>
      <c r="D155" s="4">
        <f t="shared" si="12"/>
        <v>1741.0985517734046</v>
      </c>
      <c r="E155" s="4">
        <f t="shared" si="13"/>
        <v>787.1735421984506</v>
      </c>
      <c r="F155" s="4">
        <f t="shared" si="14"/>
        <v>320646.40524673776</v>
      </c>
    </row>
    <row r="156" spans="1:6" x14ac:dyDescent="0.35">
      <c r="A156">
        <v>146</v>
      </c>
      <c r="B156" s="4">
        <f t="shared" si="10"/>
        <v>320646.40524673776</v>
      </c>
      <c r="C156" s="4">
        <f t="shared" si="11"/>
        <v>2528.2720939718552</v>
      </c>
      <c r="D156" s="4">
        <f t="shared" si="12"/>
        <v>1736.8346950864964</v>
      </c>
      <c r="E156" s="4">
        <f t="shared" si="13"/>
        <v>791.43739888535879</v>
      </c>
      <c r="F156" s="4">
        <f t="shared" si="14"/>
        <v>319854.96784785239</v>
      </c>
    </row>
    <row r="157" spans="1:6" x14ac:dyDescent="0.35">
      <c r="A157">
        <v>147</v>
      </c>
      <c r="B157" s="4">
        <f t="shared" si="10"/>
        <v>319854.96784785239</v>
      </c>
      <c r="C157" s="4">
        <f t="shared" si="11"/>
        <v>2528.2720939718552</v>
      </c>
      <c r="D157" s="4">
        <f t="shared" si="12"/>
        <v>1732.5477425092006</v>
      </c>
      <c r="E157" s="4">
        <f t="shared" si="13"/>
        <v>795.72435146265457</v>
      </c>
      <c r="F157" s="4">
        <f t="shared" si="14"/>
        <v>319059.24349638971</v>
      </c>
    </row>
    <row r="158" spans="1:6" x14ac:dyDescent="0.35">
      <c r="A158">
        <v>148</v>
      </c>
      <c r="B158" s="4">
        <f t="shared" si="10"/>
        <v>319059.24349638971</v>
      </c>
      <c r="C158" s="4">
        <f t="shared" si="11"/>
        <v>2528.2720939718552</v>
      </c>
      <c r="D158" s="4">
        <f t="shared" si="12"/>
        <v>1728.2375689387777</v>
      </c>
      <c r="E158" s="4">
        <f t="shared" si="13"/>
        <v>800.03452503307744</v>
      </c>
      <c r="F158" s="4">
        <f t="shared" si="14"/>
        <v>318259.20897135662</v>
      </c>
    </row>
    <row r="159" spans="1:6" x14ac:dyDescent="0.35">
      <c r="A159">
        <v>149</v>
      </c>
      <c r="B159" s="4">
        <f t="shared" si="10"/>
        <v>318259.20897135662</v>
      </c>
      <c r="C159" s="4">
        <f t="shared" si="11"/>
        <v>2528.2720939718552</v>
      </c>
      <c r="D159" s="4">
        <f t="shared" si="12"/>
        <v>1723.9040485948485</v>
      </c>
      <c r="E159" s="4">
        <f t="shared" si="13"/>
        <v>804.36804537700664</v>
      </c>
      <c r="F159" s="4">
        <f t="shared" si="14"/>
        <v>317454.8409259796</v>
      </c>
    </row>
    <row r="160" spans="1:6" x14ac:dyDescent="0.35">
      <c r="A160">
        <v>150</v>
      </c>
      <c r="B160" s="4">
        <f t="shared" si="10"/>
        <v>317454.8409259796</v>
      </c>
      <c r="C160" s="4">
        <f t="shared" si="11"/>
        <v>2528.2720939718552</v>
      </c>
      <c r="D160" s="4">
        <f t="shared" si="12"/>
        <v>1719.5470550157229</v>
      </c>
      <c r="E160" s="4">
        <f t="shared" si="13"/>
        <v>808.72503895613227</v>
      </c>
      <c r="F160" s="4">
        <f t="shared" si="14"/>
        <v>316646.11588702345</v>
      </c>
    </row>
    <row r="161" spans="1:6" x14ac:dyDescent="0.35">
      <c r="A161">
        <v>151</v>
      </c>
      <c r="B161" s="4">
        <f t="shared" si="10"/>
        <v>316646.11588702345</v>
      </c>
      <c r="C161" s="4">
        <f t="shared" si="11"/>
        <v>2528.2720939718552</v>
      </c>
      <c r="D161" s="4">
        <f t="shared" si="12"/>
        <v>1715.1664610547105</v>
      </c>
      <c r="E161" s="4">
        <f t="shared" si="13"/>
        <v>813.1056329171447</v>
      </c>
      <c r="F161" s="4">
        <f t="shared" si="14"/>
        <v>315833.01025410631</v>
      </c>
    </row>
    <row r="162" spans="1:6" x14ac:dyDescent="0.35">
      <c r="A162">
        <v>152</v>
      </c>
      <c r="B162" s="4">
        <f t="shared" si="10"/>
        <v>315833.01025410631</v>
      </c>
      <c r="C162" s="4">
        <f t="shared" si="11"/>
        <v>2528.2720939718552</v>
      </c>
      <c r="D162" s="4">
        <f t="shared" si="12"/>
        <v>1710.7621388764092</v>
      </c>
      <c r="E162" s="4">
        <f t="shared" si="13"/>
        <v>817.509955095446</v>
      </c>
      <c r="F162" s="4">
        <f t="shared" si="14"/>
        <v>315015.50029901089</v>
      </c>
    </row>
    <row r="163" spans="1:6" x14ac:dyDescent="0.35">
      <c r="A163">
        <v>153</v>
      </c>
      <c r="B163" s="4">
        <f t="shared" si="10"/>
        <v>315015.50029901089</v>
      </c>
      <c r="C163" s="4">
        <f t="shared" si="11"/>
        <v>2528.2720939718552</v>
      </c>
      <c r="D163" s="4">
        <f t="shared" si="12"/>
        <v>1706.3339599529756</v>
      </c>
      <c r="E163" s="4">
        <f t="shared" si="13"/>
        <v>821.93813401887951</v>
      </c>
      <c r="F163" s="4">
        <f t="shared" si="14"/>
        <v>314193.56216499204</v>
      </c>
    </row>
    <row r="164" spans="1:6" x14ac:dyDescent="0.35">
      <c r="A164">
        <v>154</v>
      </c>
      <c r="B164" s="4">
        <f t="shared" si="10"/>
        <v>314193.56216499204</v>
      </c>
      <c r="C164" s="4">
        <f t="shared" si="11"/>
        <v>2528.2720939718552</v>
      </c>
      <c r="D164" s="4">
        <f t="shared" si="12"/>
        <v>1701.8817950603736</v>
      </c>
      <c r="E164" s="4">
        <f t="shared" si="13"/>
        <v>826.39029891148152</v>
      </c>
      <c r="F164" s="4">
        <f t="shared" si="14"/>
        <v>313367.17186608055</v>
      </c>
    </row>
    <row r="165" spans="1:6" x14ac:dyDescent="0.35">
      <c r="A165">
        <v>155</v>
      </c>
      <c r="B165" s="4">
        <f t="shared" si="10"/>
        <v>313367.17186608055</v>
      </c>
      <c r="C165" s="4">
        <f t="shared" si="11"/>
        <v>2528.2720939718552</v>
      </c>
      <c r="D165" s="4">
        <f t="shared" si="12"/>
        <v>1697.4055142746031</v>
      </c>
      <c r="E165" s="4">
        <f t="shared" si="13"/>
        <v>830.86657969725206</v>
      </c>
      <c r="F165" s="4">
        <f t="shared" si="14"/>
        <v>312536.30528638331</v>
      </c>
    </row>
    <row r="166" spans="1:6" x14ac:dyDescent="0.35">
      <c r="A166">
        <v>156</v>
      </c>
      <c r="B166" s="4">
        <f t="shared" si="10"/>
        <v>312536.30528638331</v>
      </c>
      <c r="C166" s="4">
        <f t="shared" si="11"/>
        <v>2528.2720939718552</v>
      </c>
      <c r="D166" s="4">
        <f t="shared" si="12"/>
        <v>1692.9049869679097</v>
      </c>
      <c r="E166" s="4">
        <f t="shared" si="13"/>
        <v>835.36710700394542</v>
      </c>
      <c r="F166" s="4">
        <f t="shared" si="14"/>
        <v>311700.93817937939</v>
      </c>
    </row>
    <row r="167" spans="1:6" x14ac:dyDescent="0.35">
      <c r="A167">
        <v>157</v>
      </c>
      <c r="B167" s="4">
        <f t="shared" si="10"/>
        <v>311700.93817937939</v>
      </c>
      <c r="C167" s="4">
        <f t="shared" si="11"/>
        <v>2528.2720939718552</v>
      </c>
      <c r="D167" s="4">
        <f t="shared" si="12"/>
        <v>1688.3800818049717</v>
      </c>
      <c r="E167" s="4">
        <f t="shared" si="13"/>
        <v>839.89201216688343</v>
      </c>
      <c r="F167" s="4">
        <f t="shared" si="14"/>
        <v>310861.04616721248</v>
      </c>
    </row>
    <row r="168" spans="1:6" x14ac:dyDescent="0.35">
      <c r="A168">
        <v>158</v>
      </c>
      <c r="B168" s="4">
        <f t="shared" si="10"/>
        <v>310861.04616721248</v>
      </c>
      <c r="C168" s="4">
        <f t="shared" si="11"/>
        <v>2528.2720939718552</v>
      </c>
      <c r="D168" s="4">
        <f t="shared" si="12"/>
        <v>1683.8306667390677</v>
      </c>
      <c r="E168" s="4">
        <f t="shared" si="13"/>
        <v>844.44142723278742</v>
      </c>
      <c r="F168" s="4">
        <f t="shared" si="14"/>
        <v>310016.60473997967</v>
      </c>
    </row>
    <row r="169" spans="1:6" x14ac:dyDescent="0.35">
      <c r="A169">
        <v>159</v>
      </c>
      <c r="B169" s="4">
        <f t="shared" si="10"/>
        <v>310016.60473997967</v>
      </c>
      <c r="C169" s="4">
        <f t="shared" si="11"/>
        <v>2528.2720939718552</v>
      </c>
      <c r="D169" s="4">
        <f t="shared" si="12"/>
        <v>1679.2566090082232</v>
      </c>
      <c r="E169" s="4">
        <f t="shared" si="13"/>
        <v>849.01548496363193</v>
      </c>
      <c r="F169" s="4">
        <f t="shared" si="14"/>
        <v>309167.58925501601</v>
      </c>
    </row>
    <row r="170" spans="1:6" x14ac:dyDescent="0.35">
      <c r="A170">
        <v>160</v>
      </c>
      <c r="B170" s="4">
        <f t="shared" si="10"/>
        <v>309167.58925501601</v>
      </c>
      <c r="C170" s="4">
        <f t="shared" si="11"/>
        <v>2528.2720939718552</v>
      </c>
      <c r="D170" s="4">
        <f t="shared" si="12"/>
        <v>1674.6577751313368</v>
      </c>
      <c r="E170" s="4">
        <f t="shared" si="13"/>
        <v>853.61431884051831</v>
      </c>
      <c r="F170" s="4">
        <f t="shared" si="14"/>
        <v>308313.97493617551</v>
      </c>
    </row>
    <row r="171" spans="1:6" x14ac:dyDescent="0.35">
      <c r="A171">
        <v>161</v>
      </c>
      <c r="B171" s="4">
        <f t="shared" si="10"/>
        <v>308313.97493617551</v>
      </c>
      <c r="C171" s="4">
        <f t="shared" si="11"/>
        <v>2528.2720939718552</v>
      </c>
      <c r="D171" s="4">
        <f t="shared" si="12"/>
        <v>1670.034030904284</v>
      </c>
      <c r="E171" s="4">
        <f t="shared" si="13"/>
        <v>858.23806306757115</v>
      </c>
      <c r="F171" s="4">
        <f t="shared" si="14"/>
        <v>307455.73687310796</v>
      </c>
    </row>
    <row r="172" spans="1:6" x14ac:dyDescent="0.35">
      <c r="A172">
        <v>162</v>
      </c>
      <c r="B172" s="4">
        <f t="shared" si="10"/>
        <v>307455.73687310796</v>
      </c>
      <c r="C172" s="4">
        <f t="shared" si="11"/>
        <v>2528.2720939718552</v>
      </c>
      <c r="D172" s="4">
        <f t="shared" si="12"/>
        <v>1665.3852413960014</v>
      </c>
      <c r="E172" s="4">
        <f t="shared" si="13"/>
        <v>862.88685257585371</v>
      </c>
      <c r="F172" s="4">
        <f t="shared" si="14"/>
        <v>306592.85002053209</v>
      </c>
    </row>
    <row r="173" spans="1:6" x14ac:dyDescent="0.35">
      <c r="A173">
        <v>163</v>
      </c>
      <c r="B173" s="4">
        <f t="shared" si="10"/>
        <v>306592.85002053209</v>
      </c>
      <c r="C173" s="4">
        <f t="shared" si="11"/>
        <v>2528.2720939718552</v>
      </c>
      <c r="D173" s="4">
        <f t="shared" si="12"/>
        <v>1660.7112709445489</v>
      </c>
      <c r="E173" s="4">
        <f t="shared" si="13"/>
        <v>867.56082302730624</v>
      </c>
      <c r="F173" s="4">
        <f t="shared" si="14"/>
        <v>305725.28919750481</v>
      </c>
    </row>
    <row r="174" spans="1:6" x14ac:dyDescent="0.35">
      <c r="A174">
        <v>164</v>
      </c>
      <c r="B174" s="4">
        <f t="shared" si="10"/>
        <v>305725.28919750481</v>
      </c>
      <c r="C174" s="4">
        <f t="shared" si="11"/>
        <v>2528.2720939718552</v>
      </c>
      <c r="D174" s="4">
        <f t="shared" si="12"/>
        <v>1656.011983153151</v>
      </c>
      <c r="E174" s="4">
        <f t="shared" si="13"/>
        <v>872.26011081870411</v>
      </c>
      <c r="F174" s="4">
        <f t="shared" si="14"/>
        <v>304853.02908668609</v>
      </c>
    </row>
    <row r="175" spans="1:6" x14ac:dyDescent="0.35">
      <c r="A175">
        <v>165</v>
      </c>
      <c r="B175" s="4">
        <f t="shared" si="10"/>
        <v>304853.02908668609</v>
      </c>
      <c r="C175" s="4">
        <f t="shared" si="11"/>
        <v>2528.2720939718552</v>
      </c>
      <c r="D175" s="4">
        <f t="shared" si="12"/>
        <v>1651.2872408862163</v>
      </c>
      <c r="E175" s="4">
        <f t="shared" si="13"/>
        <v>876.98485308563886</v>
      </c>
      <c r="F175" s="4">
        <f t="shared" si="14"/>
        <v>303976.04423360043</v>
      </c>
    </row>
    <row r="176" spans="1:6" x14ac:dyDescent="0.35">
      <c r="A176">
        <v>166</v>
      </c>
      <c r="B176" s="4">
        <f t="shared" si="10"/>
        <v>303976.04423360043</v>
      </c>
      <c r="C176" s="4">
        <f t="shared" si="11"/>
        <v>2528.2720939718552</v>
      </c>
      <c r="D176" s="4">
        <f t="shared" si="12"/>
        <v>1646.5369062653358</v>
      </c>
      <c r="E176" s="4">
        <f t="shared" si="13"/>
        <v>881.73518770651935</v>
      </c>
      <c r="F176" s="4">
        <f t="shared" si="14"/>
        <v>303094.3090458939</v>
      </c>
    </row>
    <row r="177" spans="1:6" x14ac:dyDescent="0.35">
      <c r="A177">
        <v>167</v>
      </c>
      <c r="B177" s="4">
        <f t="shared" si="10"/>
        <v>303094.3090458939</v>
      </c>
      <c r="C177" s="4">
        <f t="shared" si="11"/>
        <v>2528.2720939718552</v>
      </c>
      <c r="D177" s="4">
        <f t="shared" si="12"/>
        <v>1641.7608406652587</v>
      </c>
      <c r="E177" s="4">
        <f t="shared" si="13"/>
        <v>886.51125330659647</v>
      </c>
      <c r="F177" s="4">
        <f t="shared" si="14"/>
        <v>302207.79779258731</v>
      </c>
    </row>
    <row r="178" spans="1:6" x14ac:dyDescent="0.35">
      <c r="A178">
        <v>168</v>
      </c>
      <c r="B178" s="4">
        <f t="shared" si="10"/>
        <v>302207.79779258731</v>
      </c>
      <c r="C178" s="4">
        <f t="shared" si="11"/>
        <v>2528.2720939718552</v>
      </c>
      <c r="D178" s="4">
        <f t="shared" si="12"/>
        <v>1636.958904709848</v>
      </c>
      <c r="E178" s="4">
        <f t="shared" si="13"/>
        <v>891.3131892620072</v>
      </c>
      <c r="F178" s="4">
        <f t="shared" si="14"/>
        <v>301316.48460332531</v>
      </c>
    </row>
    <row r="179" spans="1:6" x14ac:dyDescent="0.35">
      <c r="A179">
        <v>169</v>
      </c>
      <c r="B179" s="4">
        <f t="shared" si="10"/>
        <v>301316.48460332531</v>
      </c>
      <c r="C179" s="4">
        <f t="shared" si="11"/>
        <v>2528.2720939718552</v>
      </c>
      <c r="D179" s="4">
        <f t="shared" si="12"/>
        <v>1632.1309582680121</v>
      </c>
      <c r="E179" s="4">
        <f t="shared" si="13"/>
        <v>896.14113570384302</v>
      </c>
      <c r="F179" s="4">
        <f t="shared" si="14"/>
        <v>300420.34346762148</v>
      </c>
    </row>
    <row r="180" spans="1:6" x14ac:dyDescent="0.35">
      <c r="A180">
        <v>170</v>
      </c>
      <c r="B180" s="4">
        <f t="shared" si="10"/>
        <v>300420.34346762148</v>
      </c>
      <c r="C180" s="4">
        <f t="shared" si="11"/>
        <v>2528.2720939718552</v>
      </c>
      <c r="D180" s="4">
        <f t="shared" si="12"/>
        <v>1627.2768604496164</v>
      </c>
      <c r="E180" s="4">
        <f t="shared" si="13"/>
        <v>900.99523352223878</v>
      </c>
      <c r="F180" s="4">
        <f t="shared" si="14"/>
        <v>299519.34823409922</v>
      </c>
    </row>
    <row r="181" spans="1:6" x14ac:dyDescent="0.35">
      <c r="A181">
        <v>171</v>
      </c>
      <c r="B181" s="4">
        <f t="shared" si="10"/>
        <v>299519.34823409922</v>
      </c>
      <c r="C181" s="4">
        <f t="shared" si="11"/>
        <v>2528.2720939718552</v>
      </c>
      <c r="D181" s="4">
        <f t="shared" si="12"/>
        <v>1622.3964696013709</v>
      </c>
      <c r="E181" s="4">
        <f t="shared" si="13"/>
        <v>905.87562437048427</v>
      </c>
      <c r="F181" s="4">
        <f t="shared" si="14"/>
        <v>298613.47260972875</v>
      </c>
    </row>
    <row r="182" spans="1:6" x14ac:dyDescent="0.35">
      <c r="A182">
        <v>172</v>
      </c>
      <c r="B182" s="4">
        <f t="shared" si="10"/>
        <v>298613.47260972875</v>
      </c>
      <c r="C182" s="4">
        <f t="shared" si="11"/>
        <v>2528.2720939718552</v>
      </c>
      <c r="D182" s="4">
        <f t="shared" si="12"/>
        <v>1617.4896433026975</v>
      </c>
      <c r="E182" s="4">
        <f t="shared" si="13"/>
        <v>910.7824506691577</v>
      </c>
      <c r="F182" s="4">
        <f t="shared" si="14"/>
        <v>297702.6901590596</v>
      </c>
    </row>
    <row r="183" spans="1:6" x14ac:dyDescent="0.35">
      <c r="A183">
        <v>173</v>
      </c>
      <c r="B183" s="4">
        <f t="shared" si="10"/>
        <v>297702.6901590596</v>
      </c>
      <c r="C183" s="4">
        <f t="shared" si="11"/>
        <v>2528.2720939718552</v>
      </c>
      <c r="D183" s="4">
        <f t="shared" si="12"/>
        <v>1612.5562383615729</v>
      </c>
      <c r="E183" s="4">
        <f t="shared" si="13"/>
        <v>915.71585561028223</v>
      </c>
      <c r="F183" s="4">
        <f t="shared" si="14"/>
        <v>296786.97430344933</v>
      </c>
    </row>
    <row r="184" spans="1:6" x14ac:dyDescent="0.35">
      <c r="A184">
        <v>174</v>
      </c>
      <c r="B184" s="4">
        <f t="shared" si="10"/>
        <v>296786.97430344933</v>
      </c>
      <c r="C184" s="4">
        <f t="shared" si="11"/>
        <v>2528.2720939718552</v>
      </c>
      <c r="D184" s="4">
        <f t="shared" si="12"/>
        <v>1607.5961108103506</v>
      </c>
      <c r="E184" s="4">
        <f t="shared" si="13"/>
        <v>920.67598316150452</v>
      </c>
      <c r="F184" s="4">
        <f t="shared" si="14"/>
        <v>295866.29832028784</v>
      </c>
    </row>
    <row r="185" spans="1:6" x14ac:dyDescent="0.35">
      <c r="A185">
        <v>175</v>
      </c>
      <c r="B185" s="4">
        <f t="shared" si="10"/>
        <v>295866.29832028784</v>
      </c>
      <c r="C185" s="4">
        <f t="shared" si="11"/>
        <v>2528.2720939718552</v>
      </c>
      <c r="D185" s="4">
        <f t="shared" si="12"/>
        <v>1602.6091159015591</v>
      </c>
      <c r="E185" s="4">
        <f t="shared" si="13"/>
        <v>925.66297807029605</v>
      </c>
      <c r="F185" s="4">
        <f t="shared" si="14"/>
        <v>294940.63534221752</v>
      </c>
    </row>
    <row r="186" spans="1:6" x14ac:dyDescent="0.35">
      <c r="A186">
        <v>176</v>
      </c>
      <c r="B186" s="4">
        <f t="shared" si="10"/>
        <v>294940.63534221752</v>
      </c>
      <c r="C186" s="4">
        <f t="shared" si="11"/>
        <v>2528.2720939718552</v>
      </c>
      <c r="D186" s="4">
        <f t="shared" si="12"/>
        <v>1597.5951081036783</v>
      </c>
      <c r="E186" s="4">
        <f t="shared" si="13"/>
        <v>930.67698586817687</v>
      </c>
      <c r="F186" s="4">
        <f t="shared" si="14"/>
        <v>294009.95835634932</v>
      </c>
    </row>
    <row r="187" spans="1:6" x14ac:dyDescent="0.35">
      <c r="A187">
        <v>177</v>
      </c>
      <c r="B187" s="4">
        <f t="shared" si="10"/>
        <v>294009.95835634932</v>
      </c>
      <c r="C187" s="4">
        <f t="shared" si="11"/>
        <v>2528.2720939718552</v>
      </c>
      <c r="D187" s="4">
        <f t="shared" si="12"/>
        <v>1592.5539410968922</v>
      </c>
      <c r="E187" s="4">
        <f t="shared" si="13"/>
        <v>935.71815287496293</v>
      </c>
      <c r="F187" s="4">
        <f t="shared" si="14"/>
        <v>293074.24020347436</v>
      </c>
    </row>
    <row r="188" spans="1:6" x14ac:dyDescent="0.35">
      <c r="A188">
        <v>178</v>
      </c>
      <c r="B188" s="4">
        <f t="shared" si="10"/>
        <v>293074.24020347436</v>
      </c>
      <c r="C188" s="4">
        <f t="shared" si="11"/>
        <v>2528.2720939718552</v>
      </c>
      <c r="D188" s="4">
        <f t="shared" si="12"/>
        <v>1587.4854677688195</v>
      </c>
      <c r="E188" s="4">
        <f t="shared" si="13"/>
        <v>940.78662620303567</v>
      </c>
      <c r="F188" s="4">
        <f t="shared" si="14"/>
        <v>292133.45357727131</v>
      </c>
    </row>
    <row r="189" spans="1:6" x14ac:dyDescent="0.35">
      <c r="A189">
        <v>179</v>
      </c>
      <c r="B189" s="4">
        <f t="shared" si="10"/>
        <v>292133.45357727131</v>
      </c>
      <c r="C189" s="4">
        <f t="shared" si="11"/>
        <v>2528.2720939718552</v>
      </c>
      <c r="D189" s="4">
        <f t="shared" si="12"/>
        <v>1582.3895402102196</v>
      </c>
      <c r="E189" s="4">
        <f t="shared" si="13"/>
        <v>945.88255376163556</v>
      </c>
      <c r="F189" s="4">
        <f t="shared" si="14"/>
        <v>291187.57102350966</v>
      </c>
    </row>
    <row r="190" spans="1:6" x14ac:dyDescent="0.35">
      <c r="A190">
        <v>180</v>
      </c>
      <c r="B190" s="4">
        <f t="shared" si="10"/>
        <v>291187.57102350966</v>
      </c>
      <c r="C190" s="4">
        <f t="shared" si="11"/>
        <v>2528.2720939718552</v>
      </c>
      <c r="D190" s="4">
        <f t="shared" si="12"/>
        <v>1577.2660097106775</v>
      </c>
      <c r="E190" s="4">
        <f t="shared" si="13"/>
        <v>951.00608426117765</v>
      </c>
      <c r="F190" s="4">
        <f t="shared" si="14"/>
        <v>290236.56493924849</v>
      </c>
    </row>
    <row r="191" spans="1:6" x14ac:dyDescent="0.35">
      <c r="A191">
        <v>181</v>
      </c>
      <c r="B191" s="4">
        <f t="shared" si="10"/>
        <v>290236.56493924849</v>
      </c>
      <c r="C191" s="4">
        <f t="shared" si="11"/>
        <v>2528.2720939718552</v>
      </c>
      <c r="D191" s="4">
        <f t="shared" si="12"/>
        <v>1572.1147267542626</v>
      </c>
      <c r="E191" s="4">
        <f t="shared" si="13"/>
        <v>956.15736721759254</v>
      </c>
      <c r="F191" s="4">
        <f t="shared" si="14"/>
        <v>289280.4075720309</v>
      </c>
    </row>
    <row r="192" spans="1:6" x14ac:dyDescent="0.35">
      <c r="A192">
        <v>182</v>
      </c>
      <c r="B192" s="4">
        <f t="shared" si="10"/>
        <v>289280.4075720309</v>
      </c>
      <c r="C192" s="4">
        <f t="shared" si="11"/>
        <v>2528.2720939718552</v>
      </c>
      <c r="D192" s="4">
        <f t="shared" si="12"/>
        <v>1566.9355410151675</v>
      </c>
      <c r="E192" s="4">
        <f t="shared" si="13"/>
        <v>961.33655295668768</v>
      </c>
      <c r="F192" s="4">
        <f t="shared" si="14"/>
        <v>288319.07101907424</v>
      </c>
    </row>
    <row r="193" spans="1:6" x14ac:dyDescent="0.35">
      <c r="A193">
        <v>183</v>
      </c>
      <c r="B193" s="4">
        <f t="shared" si="10"/>
        <v>288319.07101907424</v>
      </c>
      <c r="C193" s="4">
        <f t="shared" si="11"/>
        <v>2528.2720939718552</v>
      </c>
      <c r="D193" s="4">
        <f t="shared" si="12"/>
        <v>1561.7283013533188</v>
      </c>
      <c r="E193" s="4">
        <f t="shared" si="13"/>
        <v>966.54379261853637</v>
      </c>
      <c r="F193" s="4">
        <f t="shared" si="14"/>
        <v>287352.52722645568</v>
      </c>
    </row>
    <row r="194" spans="1:6" x14ac:dyDescent="0.35">
      <c r="A194">
        <v>184</v>
      </c>
      <c r="B194" s="4">
        <f t="shared" si="10"/>
        <v>287352.52722645568</v>
      </c>
      <c r="C194" s="4">
        <f t="shared" si="11"/>
        <v>2528.2720939718552</v>
      </c>
      <c r="D194" s="4">
        <f t="shared" si="12"/>
        <v>1556.4928558099684</v>
      </c>
      <c r="E194" s="4">
        <f t="shared" si="13"/>
        <v>971.77923816188672</v>
      </c>
      <c r="F194" s="4">
        <f t="shared" si="14"/>
        <v>286380.74798829382</v>
      </c>
    </row>
    <row r="195" spans="1:6" x14ac:dyDescent="0.35">
      <c r="A195">
        <v>185</v>
      </c>
      <c r="B195" s="4">
        <f t="shared" si="10"/>
        <v>286380.74798829382</v>
      </c>
      <c r="C195" s="4">
        <f t="shared" si="11"/>
        <v>2528.2720939718552</v>
      </c>
      <c r="D195" s="4">
        <f t="shared" si="12"/>
        <v>1551.2290516032583</v>
      </c>
      <c r="E195" s="4">
        <f t="shared" si="13"/>
        <v>977.04304236859684</v>
      </c>
      <c r="F195" s="4">
        <f t="shared" si="14"/>
        <v>285403.70494592522</v>
      </c>
    </row>
    <row r="196" spans="1:6" x14ac:dyDescent="0.35">
      <c r="A196">
        <v>186</v>
      </c>
      <c r="B196" s="4">
        <f t="shared" si="10"/>
        <v>285403.70494592522</v>
      </c>
      <c r="C196" s="4">
        <f t="shared" si="11"/>
        <v>2528.2720939718552</v>
      </c>
      <c r="D196" s="4">
        <f t="shared" si="12"/>
        <v>1545.9367351237615</v>
      </c>
      <c r="E196" s="4">
        <f t="shared" si="13"/>
        <v>982.33535884809362</v>
      </c>
      <c r="F196" s="4">
        <f t="shared" si="14"/>
        <v>284421.36958707712</v>
      </c>
    </row>
    <row r="197" spans="1:6" x14ac:dyDescent="0.35">
      <c r="A197">
        <v>187</v>
      </c>
      <c r="B197" s="4">
        <f t="shared" si="10"/>
        <v>284421.36958707712</v>
      </c>
      <c r="C197" s="4">
        <f t="shared" si="11"/>
        <v>2528.2720939718552</v>
      </c>
      <c r="D197" s="4">
        <f t="shared" si="12"/>
        <v>1540.6157519300011</v>
      </c>
      <c r="E197" s="4">
        <f t="shared" si="13"/>
        <v>987.65634204185403</v>
      </c>
      <c r="F197" s="4">
        <f t="shared" si="14"/>
        <v>283433.71324503527</v>
      </c>
    </row>
    <row r="198" spans="1:6" x14ac:dyDescent="0.35">
      <c r="A198">
        <v>188</v>
      </c>
      <c r="B198" s="4">
        <f t="shared" si="10"/>
        <v>283433.71324503527</v>
      </c>
      <c r="C198" s="4">
        <f t="shared" si="11"/>
        <v>2528.2720939718552</v>
      </c>
      <c r="D198" s="4">
        <f t="shared" si="12"/>
        <v>1535.2659467439412</v>
      </c>
      <c r="E198" s="4">
        <f t="shared" si="13"/>
        <v>993.00614722791397</v>
      </c>
      <c r="F198" s="4">
        <f t="shared" si="14"/>
        <v>282440.70709780738</v>
      </c>
    </row>
    <row r="199" spans="1:6" x14ac:dyDescent="0.35">
      <c r="A199">
        <v>189</v>
      </c>
      <c r="B199" s="4">
        <f t="shared" si="10"/>
        <v>282440.70709780738</v>
      </c>
      <c r="C199" s="4">
        <f t="shared" si="11"/>
        <v>2528.2720939718552</v>
      </c>
      <c r="D199" s="4">
        <f t="shared" si="12"/>
        <v>1529.8871634464567</v>
      </c>
      <c r="E199" s="4">
        <f t="shared" si="13"/>
        <v>998.38493052539843</v>
      </c>
      <c r="F199" s="4">
        <f t="shared" si="14"/>
        <v>281442.32216728199</v>
      </c>
    </row>
    <row r="200" spans="1:6" x14ac:dyDescent="0.35">
      <c r="A200">
        <v>190</v>
      </c>
      <c r="B200" s="4">
        <f t="shared" si="10"/>
        <v>281442.32216728199</v>
      </c>
      <c r="C200" s="4">
        <f t="shared" si="11"/>
        <v>2528.2720939718552</v>
      </c>
      <c r="D200" s="4">
        <f t="shared" si="12"/>
        <v>1524.4792450727775</v>
      </c>
      <c r="E200" s="4">
        <f t="shared" si="13"/>
        <v>1003.7928488990776</v>
      </c>
      <c r="F200" s="4">
        <f t="shared" si="14"/>
        <v>280438.52931838291</v>
      </c>
    </row>
    <row r="201" spans="1:6" x14ac:dyDescent="0.35">
      <c r="A201">
        <v>191</v>
      </c>
      <c r="B201" s="4">
        <f t="shared" si="10"/>
        <v>280438.52931838291</v>
      </c>
      <c r="C201" s="4">
        <f t="shared" si="11"/>
        <v>2528.2720939718552</v>
      </c>
      <c r="D201" s="4">
        <f t="shared" si="12"/>
        <v>1519.0420338079075</v>
      </c>
      <c r="E201" s="4">
        <f t="shared" si="13"/>
        <v>1009.2300601639477</v>
      </c>
      <c r="F201" s="4">
        <f t="shared" si="14"/>
        <v>279429.29925821896</v>
      </c>
    </row>
    <row r="202" spans="1:6" x14ac:dyDescent="0.35">
      <c r="A202">
        <v>192</v>
      </c>
      <c r="B202" s="4">
        <f t="shared" si="10"/>
        <v>279429.29925821896</v>
      </c>
      <c r="C202" s="4">
        <f t="shared" si="11"/>
        <v>2528.2720939718552</v>
      </c>
      <c r="D202" s="4">
        <f t="shared" si="12"/>
        <v>1513.5753709820194</v>
      </c>
      <c r="E202" s="4">
        <f t="shared" si="13"/>
        <v>1014.6967229898357</v>
      </c>
      <c r="F202" s="4">
        <f t="shared" si="14"/>
        <v>278414.60253522912</v>
      </c>
    </row>
    <row r="203" spans="1:6" x14ac:dyDescent="0.35">
      <c r="A203">
        <v>193</v>
      </c>
      <c r="B203" s="4">
        <f t="shared" si="10"/>
        <v>278414.60253522912</v>
      </c>
      <c r="C203" s="4">
        <f t="shared" si="11"/>
        <v>2528.2720939718552</v>
      </c>
      <c r="D203" s="4">
        <f t="shared" si="12"/>
        <v>1508.0790970658245</v>
      </c>
      <c r="E203" s="4">
        <f t="shared" si="13"/>
        <v>1020.1929969060307</v>
      </c>
      <c r="F203" s="4">
        <f t="shared" si="14"/>
        <v>277394.40953832306</v>
      </c>
    </row>
    <row r="204" spans="1:6" x14ac:dyDescent="0.35">
      <c r="A204">
        <v>194</v>
      </c>
      <c r="B204" s="4">
        <f t="shared" ref="B204:B267" si="15">F203</f>
        <v>277394.40953832306</v>
      </c>
      <c r="C204" s="4">
        <f t="shared" ref="C204:C267" si="16">IF(A204&gt;($B$4*12), "", $B$6)</f>
        <v>2528.2720939718552</v>
      </c>
      <c r="D204" s="4">
        <f t="shared" ref="D204:D267" si="17">IF(B204&lt;=0, 0, B204*($B$3/12))</f>
        <v>1502.5530516659167</v>
      </c>
      <c r="E204" s="4">
        <f t="shared" ref="E204:E267" si="18">IF(B204&lt;=0, 0, C204-D204)</f>
        <v>1025.7190423059385</v>
      </c>
      <c r="F204" s="4">
        <f t="shared" ref="F204:F267" si="19">IF(B204&lt;=0, 0, B204-E204)</f>
        <v>276368.69049601711</v>
      </c>
    </row>
    <row r="205" spans="1:6" x14ac:dyDescent="0.35">
      <c r="A205">
        <v>195</v>
      </c>
      <c r="B205" s="4">
        <f t="shared" si="15"/>
        <v>276368.69049601711</v>
      </c>
      <c r="C205" s="4">
        <f t="shared" si="16"/>
        <v>2528.2720939718552</v>
      </c>
      <c r="D205" s="4">
        <f t="shared" si="17"/>
        <v>1496.9970735200927</v>
      </c>
      <c r="E205" s="4">
        <f t="shared" si="18"/>
        <v>1031.2750204517624</v>
      </c>
      <c r="F205" s="4">
        <f t="shared" si="19"/>
        <v>275337.41547556536</v>
      </c>
    </row>
    <row r="206" spans="1:6" x14ac:dyDescent="0.35">
      <c r="A206">
        <v>196</v>
      </c>
      <c r="B206" s="4">
        <f t="shared" si="15"/>
        <v>275337.41547556536</v>
      </c>
      <c r="C206" s="4">
        <f t="shared" si="16"/>
        <v>2528.2720939718552</v>
      </c>
      <c r="D206" s="4">
        <f t="shared" si="17"/>
        <v>1491.4110004926458</v>
      </c>
      <c r="E206" s="4">
        <f t="shared" si="18"/>
        <v>1036.8610934792093</v>
      </c>
      <c r="F206" s="4">
        <f t="shared" si="19"/>
        <v>274300.55438208615</v>
      </c>
    </row>
    <row r="207" spans="1:6" x14ac:dyDescent="0.35">
      <c r="A207">
        <v>197</v>
      </c>
      <c r="B207" s="4">
        <f t="shared" si="15"/>
        <v>274300.55438208615</v>
      </c>
      <c r="C207" s="4">
        <f t="shared" si="16"/>
        <v>2528.2720939718552</v>
      </c>
      <c r="D207" s="4">
        <f t="shared" si="17"/>
        <v>1485.7946695696335</v>
      </c>
      <c r="E207" s="4">
        <f t="shared" si="18"/>
        <v>1042.4774244022217</v>
      </c>
      <c r="F207" s="4">
        <f t="shared" si="19"/>
        <v>273258.07695768395</v>
      </c>
    </row>
    <row r="208" spans="1:6" x14ac:dyDescent="0.35">
      <c r="A208">
        <v>198</v>
      </c>
      <c r="B208" s="4">
        <f t="shared" si="15"/>
        <v>273258.07695768395</v>
      </c>
      <c r="C208" s="4">
        <f t="shared" si="16"/>
        <v>2528.2720939718552</v>
      </c>
      <c r="D208" s="4">
        <f t="shared" si="17"/>
        <v>1480.1479168541214</v>
      </c>
      <c r="E208" s="4">
        <f t="shared" si="18"/>
        <v>1048.1241771177338</v>
      </c>
      <c r="F208" s="4">
        <f t="shared" si="19"/>
        <v>272209.95278056624</v>
      </c>
    </row>
    <row r="209" spans="1:6" x14ac:dyDescent="0.35">
      <c r="A209">
        <v>199</v>
      </c>
      <c r="B209" s="4">
        <f t="shared" si="15"/>
        <v>272209.95278056624</v>
      </c>
      <c r="C209" s="4">
        <f t="shared" si="16"/>
        <v>2528.2720939718552</v>
      </c>
      <c r="D209" s="4">
        <f t="shared" si="17"/>
        <v>1474.4705775614004</v>
      </c>
      <c r="E209" s="4">
        <f t="shared" si="18"/>
        <v>1053.8015164104547</v>
      </c>
      <c r="F209" s="4">
        <f t="shared" si="19"/>
        <v>271156.15126415581</v>
      </c>
    </row>
    <row r="210" spans="1:6" x14ac:dyDescent="0.35">
      <c r="A210">
        <v>200</v>
      </c>
      <c r="B210" s="4">
        <f t="shared" si="15"/>
        <v>271156.15126415581</v>
      </c>
      <c r="C210" s="4">
        <f t="shared" si="16"/>
        <v>2528.2720939718552</v>
      </c>
      <c r="D210" s="4">
        <f t="shared" si="17"/>
        <v>1468.7624860141773</v>
      </c>
      <c r="E210" s="4">
        <f t="shared" si="18"/>
        <v>1059.5096079576779</v>
      </c>
      <c r="F210" s="4">
        <f t="shared" si="19"/>
        <v>270096.64165619813</v>
      </c>
    </row>
    <row r="211" spans="1:6" x14ac:dyDescent="0.35">
      <c r="A211">
        <v>201</v>
      </c>
      <c r="B211" s="4">
        <f t="shared" si="15"/>
        <v>270096.64165619813</v>
      </c>
      <c r="C211" s="4">
        <f t="shared" si="16"/>
        <v>2528.2720939718552</v>
      </c>
      <c r="D211" s="4">
        <f t="shared" si="17"/>
        <v>1463.0234756377399</v>
      </c>
      <c r="E211" s="4">
        <f t="shared" si="18"/>
        <v>1065.2486183341152</v>
      </c>
      <c r="F211" s="4">
        <f t="shared" si="19"/>
        <v>269031.39303786401</v>
      </c>
    </row>
    <row r="212" spans="1:6" x14ac:dyDescent="0.35">
      <c r="A212">
        <v>202</v>
      </c>
      <c r="B212" s="4">
        <f t="shared" si="15"/>
        <v>269031.39303786401</v>
      </c>
      <c r="C212" s="4">
        <f t="shared" si="16"/>
        <v>2528.2720939718552</v>
      </c>
      <c r="D212" s="4">
        <f t="shared" si="17"/>
        <v>1457.2533789550967</v>
      </c>
      <c r="E212" s="4">
        <f t="shared" si="18"/>
        <v>1071.0187150167585</v>
      </c>
      <c r="F212" s="4">
        <f t="shared" si="19"/>
        <v>267960.37432284723</v>
      </c>
    </row>
    <row r="213" spans="1:6" x14ac:dyDescent="0.35">
      <c r="A213">
        <v>203</v>
      </c>
      <c r="B213" s="4">
        <f t="shared" si="15"/>
        <v>267960.37432284723</v>
      </c>
      <c r="C213" s="4">
        <f t="shared" si="16"/>
        <v>2528.2720939718552</v>
      </c>
      <c r="D213" s="4">
        <f t="shared" si="17"/>
        <v>1451.4520275820892</v>
      </c>
      <c r="E213" s="4">
        <f t="shared" si="18"/>
        <v>1076.820066389766</v>
      </c>
      <c r="F213" s="4">
        <f t="shared" si="19"/>
        <v>266883.55425645749</v>
      </c>
    </row>
    <row r="214" spans="1:6" x14ac:dyDescent="0.35">
      <c r="A214">
        <v>204</v>
      </c>
      <c r="B214" s="4">
        <f t="shared" si="15"/>
        <v>266883.55425645749</v>
      </c>
      <c r="C214" s="4">
        <f t="shared" si="16"/>
        <v>2528.2720939718552</v>
      </c>
      <c r="D214" s="4">
        <f t="shared" si="17"/>
        <v>1445.6192522224781</v>
      </c>
      <c r="E214" s="4">
        <f t="shared" si="18"/>
        <v>1082.6528417493771</v>
      </c>
      <c r="F214" s="4">
        <f t="shared" si="19"/>
        <v>265800.90141470812</v>
      </c>
    </row>
    <row r="215" spans="1:6" x14ac:dyDescent="0.35">
      <c r="A215">
        <v>205</v>
      </c>
      <c r="B215" s="4">
        <f t="shared" si="15"/>
        <v>265800.90141470812</v>
      </c>
      <c r="C215" s="4">
        <f t="shared" si="16"/>
        <v>2528.2720939718552</v>
      </c>
      <c r="D215" s="4">
        <f t="shared" si="17"/>
        <v>1439.7548826630023</v>
      </c>
      <c r="E215" s="4">
        <f t="shared" si="18"/>
        <v>1088.5172113088529</v>
      </c>
      <c r="F215" s="4">
        <f t="shared" si="19"/>
        <v>264712.38420339924</v>
      </c>
    </row>
    <row r="216" spans="1:6" x14ac:dyDescent="0.35">
      <c r="A216">
        <v>206</v>
      </c>
      <c r="B216" s="4">
        <f t="shared" si="15"/>
        <v>264712.38420339924</v>
      </c>
      <c r="C216" s="4">
        <f t="shared" si="16"/>
        <v>2528.2720939718552</v>
      </c>
      <c r="D216" s="4">
        <f t="shared" si="17"/>
        <v>1433.8587477684125</v>
      </c>
      <c r="E216" s="4">
        <f t="shared" si="18"/>
        <v>1094.4133462034426</v>
      </c>
      <c r="F216" s="4">
        <f t="shared" si="19"/>
        <v>263617.97085719579</v>
      </c>
    </row>
    <row r="217" spans="1:6" x14ac:dyDescent="0.35">
      <c r="A217">
        <v>207</v>
      </c>
      <c r="B217" s="4">
        <f t="shared" si="15"/>
        <v>263617.97085719579</v>
      </c>
      <c r="C217" s="4">
        <f t="shared" si="16"/>
        <v>2528.2720939718552</v>
      </c>
      <c r="D217" s="4">
        <f t="shared" si="17"/>
        <v>1427.9306754764773</v>
      </c>
      <c r="E217" s="4">
        <f t="shared" si="18"/>
        <v>1100.3414184953779</v>
      </c>
      <c r="F217" s="4">
        <f t="shared" si="19"/>
        <v>262517.62943870039</v>
      </c>
    </row>
    <row r="218" spans="1:6" x14ac:dyDescent="0.35">
      <c r="A218">
        <v>208</v>
      </c>
      <c r="B218" s="4">
        <f t="shared" si="15"/>
        <v>262517.62943870039</v>
      </c>
      <c r="C218" s="4">
        <f t="shared" si="16"/>
        <v>2528.2720939718552</v>
      </c>
      <c r="D218" s="4">
        <f t="shared" si="17"/>
        <v>1421.9704927929604</v>
      </c>
      <c r="E218" s="4">
        <f t="shared" si="18"/>
        <v>1106.3016011788948</v>
      </c>
      <c r="F218" s="4">
        <f t="shared" si="19"/>
        <v>261411.3278375215</v>
      </c>
    </row>
    <row r="219" spans="1:6" x14ac:dyDescent="0.35">
      <c r="A219">
        <v>209</v>
      </c>
      <c r="B219" s="4">
        <f t="shared" si="15"/>
        <v>261411.3278375215</v>
      </c>
      <c r="C219" s="4">
        <f t="shared" si="16"/>
        <v>2528.2720939718552</v>
      </c>
      <c r="D219" s="4">
        <f t="shared" si="17"/>
        <v>1415.9780257865748</v>
      </c>
      <c r="E219" s="4">
        <f t="shared" si="18"/>
        <v>1112.2940681852804</v>
      </c>
      <c r="F219" s="4">
        <f t="shared" si="19"/>
        <v>260299.03376933621</v>
      </c>
    </row>
    <row r="220" spans="1:6" x14ac:dyDescent="0.35">
      <c r="A220">
        <v>210</v>
      </c>
      <c r="B220" s="4">
        <f t="shared" si="15"/>
        <v>260299.03376933621</v>
      </c>
      <c r="C220" s="4">
        <f t="shared" si="16"/>
        <v>2528.2720939718552</v>
      </c>
      <c r="D220" s="4">
        <f t="shared" si="17"/>
        <v>1409.9530995839045</v>
      </c>
      <c r="E220" s="4">
        <f t="shared" si="18"/>
        <v>1118.3189943879506</v>
      </c>
      <c r="F220" s="4">
        <f t="shared" si="19"/>
        <v>259180.71477494825</v>
      </c>
    </row>
    <row r="221" spans="1:6" x14ac:dyDescent="0.35">
      <c r="A221">
        <v>211</v>
      </c>
      <c r="B221" s="4">
        <f t="shared" si="15"/>
        <v>259180.71477494825</v>
      </c>
      <c r="C221" s="4">
        <f t="shared" si="16"/>
        <v>2528.2720939718552</v>
      </c>
      <c r="D221" s="4">
        <f t="shared" si="17"/>
        <v>1403.8955383643031</v>
      </c>
      <c r="E221" s="4">
        <f t="shared" si="18"/>
        <v>1124.3765556075521</v>
      </c>
      <c r="F221" s="4">
        <f t="shared" si="19"/>
        <v>258056.33821934072</v>
      </c>
    </row>
    <row r="222" spans="1:6" x14ac:dyDescent="0.35">
      <c r="A222">
        <v>212</v>
      </c>
      <c r="B222" s="4">
        <f t="shared" si="15"/>
        <v>258056.33821934072</v>
      </c>
      <c r="C222" s="4">
        <f t="shared" si="16"/>
        <v>2528.2720939718552</v>
      </c>
      <c r="D222" s="4">
        <f t="shared" si="17"/>
        <v>1397.8051653547623</v>
      </c>
      <c r="E222" s="4">
        <f t="shared" si="18"/>
        <v>1130.4669286170929</v>
      </c>
      <c r="F222" s="4">
        <f t="shared" si="19"/>
        <v>256925.87129072362</v>
      </c>
    </row>
    <row r="223" spans="1:6" x14ac:dyDescent="0.35">
      <c r="A223">
        <v>213</v>
      </c>
      <c r="B223" s="4">
        <f t="shared" si="15"/>
        <v>256925.87129072362</v>
      </c>
      <c r="C223" s="4">
        <f t="shared" si="16"/>
        <v>2528.2720939718552</v>
      </c>
      <c r="D223" s="4">
        <f t="shared" si="17"/>
        <v>1391.681802824753</v>
      </c>
      <c r="E223" s="4">
        <f t="shared" si="18"/>
        <v>1136.5902911471021</v>
      </c>
      <c r="F223" s="4">
        <f t="shared" si="19"/>
        <v>255789.28099957653</v>
      </c>
    </row>
    <row r="224" spans="1:6" x14ac:dyDescent="0.35">
      <c r="A224">
        <v>214</v>
      </c>
      <c r="B224" s="4">
        <f t="shared" si="15"/>
        <v>255789.28099957653</v>
      </c>
      <c r="C224" s="4">
        <f t="shared" si="16"/>
        <v>2528.2720939718552</v>
      </c>
      <c r="D224" s="4">
        <f t="shared" si="17"/>
        <v>1385.5252720810395</v>
      </c>
      <c r="E224" s="4">
        <f t="shared" si="18"/>
        <v>1142.7468218908157</v>
      </c>
      <c r="F224" s="4">
        <f t="shared" si="19"/>
        <v>254646.53417768571</v>
      </c>
    </row>
    <row r="225" spans="1:6" x14ac:dyDescent="0.35">
      <c r="A225">
        <v>215</v>
      </c>
      <c r="B225" s="4">
        <f t="shared" si="15"/>
        <v>254646.53417768571</v>
      </c>
      <c r="C225" s="4">
        <f t="shared" si="16"/>
        <v>2528.2720939718552</v>
      </c>
      <c r="D225" s="4">
        <f t="shared" si="17"/>
        <v>1379.3353934624643</v>
      </c>
      <c r="E225" s="4">
        <f t="shared" si="18"/>
        <v>1148.9367005093909</v>
      </c>
      <c r="F225" s="4">
        <f t="shared" si="19"/>
        <v>253497.59747717631</v>
      </c>
    </row>
    <row r="226" spans="1:6" x14ac:dyDescent="0.35">
      <c r="A226">
        <v>216</v>
      </c>
      <c r="B226" s="4">
        <f t="shared" si="15"/>
        <v>253497.59747717631</v>
      </c>
      <c r="C226" s="4">
        <f t="shared" si="16"/>
        <v>2528.2720939718552</v>
      </c>
      <c r="D226" s="4">
        <f t="shared" si="17"/>
        <v>1373.1119863347051</v>
      </c>
      <c r="E226" s="4">
        <f t="shared" si="18"/>
        <v>1155.1601076371501</v>
      </c>
      <c r="F226" s="4">
        <f t="shared" si="19"/>
        <v>252342.43736953917</v>
      </c>
    </row>
    <row r="227" spans="1:6" x14ac:dyDescent="0.35">
      <c r="A227">
        <v>217</v>
      </c>
      <c r="B227" s="4">
        <f t="shared" si="15"/>
        <v>252342.43736953917</v>
      </c>
      <c r="C227" s="4">
        <f t="shared" si="16"/>
        <v>2528.2720939718552</v>
      </c>
      <c r="D227" s="4">
        <f t="shared" si="17"/>
        <v>1366.8548690850039</v>
      </c>
      <c r="E227" s="4">
        <f t="shared" si="18"/>
        <v>1161.4172248868513</v>
      </c>
      <c r="F227" s="4">
        <f t="shared" si="19"/>
        <v>251181.02014465231</v>
      </c>
    </row>
    <row r="228" spans="1:6" x14ac:dyDescent="0.35">
      <c r="A228">
        <v>218</v>
      </c>
      <c r="B228" s="4">
        <f t="shared" si="15"/>
        <v>251181.02014465231</v>
      </c>
      <c r="C228" s="4">
        <f t="shared" si="16"/>
        <v>2528.2720939718552</v>
      </c>
      <c r="D228" s="4">
        <f t="shared" si="17"/>
        <v>1360.5638591168668</v>
      </c>
      <c r="E228" s="4">
        <f t="shared" si="18"/>
        <v>1167.7082348549884</v>
      </c>
      <c r="F228" s="4">
        <f t="shared" si="19"/>
        <v>250013.31190979731</v>
      </c>
    </row>
    <row r="229" spans="1:6" x14ac:dyDescent="0.35">
      <c r="A229">
        <v>219</v>
      </c>
      <c r="B229" s="4">
        <f t="shared" si="15"/>
        <v>250013.31190979731</v>
      </c>
      <c r="C229" s="4">
        <f t="shared" si="16"/>
        <v>2528.2720939718552</v>
      </c>
      <c r="D229" s="4">
        <f t="shared" si="17"/>
        <v>1354.2387728447354</v>
      </c>
      <c r="E229" s="4">
        <f t="shared" si="18"/>
        <v>1174.0333211271197</v>
      </c>
      <c r="F229" s="4">
        <f t="shared" si="19"/>
        <v>248839.27858867019</v>
      </c>
    </row>
    <row r="230" spans="1:6" x14ac:dyDescent="0.35">
      <c r="A230">
        <v>220</v>
      </c>
      <c r="B230" s="4">
        <f t="shared" si="15"/>
        <v>248839.27858867019</v>
      </c>
      <c r="C230" s="4">
        <f t="shared" si="16"/>
        <v>2528.2720939718552</v>
      </c>
      <c r="D230" s="4">
        <f t="shared" si="17"/>
        <v>1347.8794256886301</v>
      </c>
      <c r="E230" s="4">
        <f t="shared" si="18"/>
        <v>1180.392668283225</v>
      </c>
      <c r="F230" s="4">
        <f t="shared" si="19"/>
        <v>247658.88592038697</v>
      </c>
    </row>
    <row r="231" spans="1:6" x14ac:dyDescent="0.35">
      <c r="A231">
        <v>221</v>
      </c>
      <c r="B231" s="4">
        <f t="shared" si="15"/>
        <v>247658.88592038697</v>
      </c>
      <c r="C231" s="4">
        <f t="shared" si="16"/>
        <v>2528.2720939718552</v>
      </c>
      <c r="D231" s="4">
        <f t="shared" si="17"/>
        <v>1341.4856320687627</v>
      </c>
      <c r="E231" s="4">
        <f t="shared" si="18"/>
        <v>1186.7864619030925</v>
      </c>
      <c r="F231" s="4">
        <f t="shared" si="19"/>
        <v>246472.09945848386</v>
      </c>
    </row>
    <row r="232" spans="1:6" x14ac:dyDescent="0.35">
      <c r="A232">
        <v>222</v>
      </c>
      <c r="B232" s="4">
        <f t="shared" si="15"/>
        <v>246472.09945848386</v>
      </c>
      <c r="C232" s="4">
        <f t="shared" si="16"/>
        <v>2528.2720939718552</v>
      </c>
      <c r="D232" s="4">
        <f t="shared" si="17"/>
        <v>1335.0572054001209</v>
      </c>
      <c r="E232" s="4">
        <f t="shared" si="18"/>
        <v>1193.2148885717343</v>
      </c>
      <c r="F232" s="4">
        <f t="shared" si="19"/>
        <v>245278.88456991213</v>
      </c>
    </row>
    <row r="233" spans="1:6" x14ac:dyDescent="0.35">
      <c r="A233">
        <v>223</v>
      </c>
      <c r="B233" s="4">
        <f t="shared" si="15"/>
        <v>245278.88456991213</v>
      </c>
      <c r="C233" s="4">
        <f t="shared" si="16"/>
        <v>2528.2720939718552</v>
      </c>
      <c r="D233" s="4">
        <f t="shared" si="17"/>
        <v>1328.593958087024</v>
      </c>
      <c r="E233" s="4">
        <f t="shared" si="18"/>
        <v>1199.6781358848311</v>
      </c>
      <c r="F233" s="4">
        <f t="shared" si="19"/>
        <v>244079.20643402729</v>
      </c>
    </row>
    <row r="234" spans="1:6" x14ac:dyDescent="0.35">
      <c r="A234">
        <v>224</v>
      </c>
      <c r="B234" s="4">
        <f t="shared" si="15"/>
        <v>244079.20643402729</v>
      </c>
      <c r="C234" s="4">
        <f t="shared" si="16"/>
        <v>2528.2720939718552</v>
      </c>
      <c r="D234" s="4">
        <f t="shared" si="17"/>
        <v>1322.095701517648</v>
      </c>
      <c r="E234" s="4">
        <f t="shared" si="18"/>
        <v>1206.1763924542072</v>
      </c>
      <c r="F234" s="4">
        <f t="shared" si="19"/>
        <v>242873.03004157307</v>
      </c>
    </row>
    <row r="235" spans="1:6" x14ac:dyDescent="0.35">
      <c r="A235">
        <v>225</v>
      </c>
      <c r="B235" s="4">
        <f t="shared" si="15"/>
        <v>242873.03004157307</v>
      </c>
      <c r="C235" s="4">
        <f t="shared" si="16"/>
        <v>2528.2720939718552</v>
      </c>
      <c r="D235" s="4">
        <f t="shared" si="17"/>
        <v>1315.5622460585209</v>
      </c>
      <c r="E235" s="4">
        <f t="shared" si="18"/>
        <v>1212.7098479133342</v>
      </c>
      <c r="F235" s="4">
        <f t="shared" si="19"/>
        <v>241660.32019365975</v>
      </c>
    </row>
    <row r="236" spans="1:6" x14ac:dyDescent="0.35">
      <c r="A236">
        <v>226</v>
      </c>
      <c r="B236" s="4">
        <f t="shared" si="15"/>
        <v>241660.32019365975</v>
      </c>
      <c r="C236" s="4">
        <f t="shared" si="16"/>
        <v>2528.2720939718552</v>
      </c>
      <c r="D236" s="4">
        <f t="shared" si="17"/>
        <v>1308.9934010489903</v>
      </c>
      <c r="E236" s="4">
        <f t="shared" si="18"/>
        <v>1219.2786929228648</v>
      </c>
      <c r="F236" s="4">
        <f t="shared" si="19"/>
        <v>240441.04150073687</v>
      </c>
    </row>
    <row r="237" spans="1:6" x14ac:dyDescent="0.35">
      <c r="A237">
        <v>227</v>
      </c>
      <c r="B237" s="4">
        <f t="shared" si="15"/>
        <v>240441.04150073687</v>
      </c>
      <c r="C237" s="4">
        <f t="shared" si="16"/>
        <v>2528.2720939718552</v>
      </c>
      <c r="D237" s="4">
        <f t="shared" si="17"/>
        <v>1302.3889747956582</v>
      </c>
      <c r="E237" s="4">
        <f t="shared" si="18"/>
        <v>1225.8831191761969</v>
      </c>
      <c r="F237" s="4">
        <f t="shared" si="19"/>
        <v>239215.15838156067</v>
      </c>
    </row>
    <row r="238" spans="1:6" x14ac:dyDescent="0.35">
      <c r="A238">
        <v>228</v>
      </c>
      <c r="B238" s="4">
        <f t="shared" si="15"/>
        <v>239215.15838156067</v>
      </c>
      <c r="C238" s="4">
        <f t="shared" si="16"/>
        <v>2528.2720939718552</v>
      </c>
      <c r="D238" s="4">
        <f t="shared" si="17"/>
        <v>1295.748774566787</v>
      </c>
      <c r="E238" s="4">
        <f t="shared" si="18"/>
        <v>1232.5233194050682</v>
      </c>
      <c r="F238" s="4">
        <f t="shared" si="19"/>
        <v>237982.6350621556</v>
      </c>
    </row>
    <row r="239" spans="1:6" x14ac:dyDescent="0.35">
      <c r="A239">
        <v>229</v>
      </c>
      <c r="B239" s="4">
        <f t="shared" si="15"/>
        <v>237982.6350621556</v>
      </c>
      <c r="C239" s="4">
        <f t="shared" si="16"/>
        <v>2528.2720939718552</v>
      </c>
      <c r="D239" s="4">
        <f t="shared" si="17"/>
        <v>1289.0726065866763</v>
      </c>
      <c r="E239" s="4">
        <f t="shared" si="18"/>
        <v>1239.1994873851788</v>
      </c>
      <c r="F239" s="4">
        <f t="shared" si="19"/>
        <v>236743.43557477044</v>
      </c>
    </row>
    <row r="240" spans="1:6" x14ac:dyDescent="0.35">
      <c r="A240">
        <v>230</v>
      </c>
      <c r="B240" s="4">
        <f t="shared" si="15"/>
        <v>236743.43557477044</v>
      </c>
      <c r="C240" s="4">
        <f t="shared" si="16"/>
        <v>2528.2720939718552</v>
      </c>
      <c r="D240" s="4">
        <f t="shared" si="17"/>
        <v>1282.3602760300066</v>
      </c>
      <c r="E240" s="4">
        <f t="shared" si="18"/>
        <v>1245.9118179418485</v>
      </c>
      <c r="F240" s="4">
        <f t="shared" si="19"/>
        <v>235497.5237568286</v>
      </c>
    </row>
    <row r="241" spans="1:6" x14ac:dyDescent="0.35">
      <c r="A241">
        <v>231</v>
      </c>
      <c r="B241" s="4">
        <f t="shared" si="15"/>
        <v>235497.5237568286</v>
      </c>
      <c r="C241" s="4">
        <f t="shared" si="16"/>
        <v>2528.2720939718552</v>
      </c>
      <c r="D241" s="4">
        <f t="shared" si="17"/>
        <v>1275.611587016155</v>
      </c>
      <c r="E241" s="4">
        <f t="shared" si="18"/>
        <v>1252.6605069557002</v>
      </c>
      <c r="F241" s="4">
        <f t="shared" si="19"/>
        <v>234244.8632498729</v>
      </c>
    </row>
    <row r="242" spans="1:6" x14ac:dyDescent="0.35">
      <c r="A242">
        <v>232</v>
      </c>
      <c r="B242" s="4">
        <f t="shared" si="15"/>
        <v>234244.8632498729</v>
      </c>
      <c r="C242" s="4">
        <f t="shared" si="16"/>
        <v>2528.2720939718552</v>
      </c>
      <c r="D242" s="4">
        <f t="shared" si="17"/>
        <v>1268.8263426034782</v>
      </c>
      <c r="E242" s="4">
        <f t="shared" si="18"/>
        <v>1259.4457513683769</v>
      </c>
      <c r="F242" s="4">
        <f t="shared" si="19"/>
        <v>232985.41749850451</v>
      </c>
    </row>
    <row r="243" spans="1:6" x14ac:dyDescent="0.35">
      <c r="A243">
        <v>233</v>
      </c>
      <c r="B243" s="4">
        <f t="shared" si="15"/>
        <v>232985.41749850451</v>
      </c>
      <c r="C243" s="4">
        <f t="shared" si="16"/>
        <v>2528.2720939718552</v>
      </c>
      <c r="D243" s="4">
        <f t="shared" si="17"/>
        <v>1262.0043447835662</v>
      </c>
      <c r="E243" s="4">
        <f t="shared" si="18"/>
        <v>1266.2677491882889</v>
      </c>
      <c r="F243" s="4">
        <f t="shared" si="19"/>
        <v>231719.14974931622</v>
      </c>
    </row>
    <row r="244" spans="1:6" x14ac:dyDescent="0.35">
      <c r="A244">
        <v>234</v>
      </c>
      <c r="B244" s="4">
        <f t="shared" si="15"/>
        <v>231719.14974931622</v>
      </c>
      <c r="C244" s="4">
        <f t="shared" si="16"/>
        <v>2528.2720939718552</v>
      </c>
      <c r="D244" s="4">
        <f t="shared" si="17"/>
        <v>1255.1453944754628</v>
      </c>
      <c r="E244" s="4">
        <f t="shared" si="18"/>
        <v>1273.1266994963923</v>
      </c>
      <c r="F244" s="4">
        <f t="shared" si="19"/>
        <v>230446.02304981984</v>
      </c>
    </row>
    <row r="245" spans="1:6" x14ac:dyDescent="0.35">
      <c r="A245">
        <v>235</v>
      </c>
      <c r="B245" s="4">
        <f t="shared" si="15"/>
        <v>230446.02304981984</v>
      </c>
      <c r="C245" s="4">
        <f t="shared" si="16"/>
        <v>2528.2720939718552</v>
      </c>
      <c r="D245" s="4">
        <f t="shared" si="17"/>
        <v>1248.2492915198575</v>
      </c>
      <c r="E245" s="4">
        <f t="shared" si="18"/>
        <v>1280.0228024519977</v>
      </c>
      <c r="F245" s="4">
        <f t="shared" si="19"/>
        <v>229166.00024736783</v>
      </c>
    </row>
    <row r="246" spans="1:6" x14ac:dyDescent="0.35">
      <c r="A246">
        <v>236</v>
      </c>
      <c r="B246" s="4">
        <f t="shared" si="15"/>
        <v>229166.00024736783</v>
      </c>
      <c r="C246" s="4">
        <f t="shared" si="16"/>
        <v>2528.2720939718552</v>
      </c>
      <c r="D246" s="4">
        <f t="shared" si="17"/>
        <v>1241.3158346732425</v>
      </c>
      <c r="E246" s="4">
        <f t="shared" si="18"/>
        <v>1286.9562592986126</v>
      </c>
      <c r="F246" s="4">
        <f t="shared" si="19"/>
        <v>227879.04398806923</v>
      </c>
    </row>
    <row r="247" spans="1:6" x14ac:dyDescent="0.35">
      <c r="A247">
        <v>237</v>
      </c>
      <c r="B247" s="4">
        <f t="shared" si="15"/>
        <v>227879.04398806923</v>
      </c>
      <c r="C247" s="4">
        <f t="shared" si="16"/>
        <v>2528.2720939718552</v>
      </c>
      <c r="D247" s="4">
        <f t="shared" si="17"/>
        <v>1234.3448216020417</v>
      </c>
      <c r="E247" s="4">
        <f t="shared" si="18"/>
        <v>1293.9272723698134</v>
      </c>
      <c r="F247" s="4">
        <f t="shared" si="19"/>
        <v>226585.11671569941</v>
      </c>
    </row>
    <row r="248" spans="1:6" x14ac:dyDescent="0.35">
      <c r="A248">
        <v>238</v>
      </c>
      <c r="B248" s="4">
        <f t="shared" si="15"/>
        <v>226585.11671569941</v>
      </c>
      <c r="C248" s="4">
        <f t="shared" si="16"/>
        <v>2528.2720939718552</v>
      </c>
      <c r="D248" s="4">
        <f t="shared" si="17"/>
        <v>1227.3360488767053</v>
      </c>
      <c r="E248" s="4">
        <f t="shared" si="18"/>
        <v>1300.9360450951499</v>
      </c>
      <c r="F248" s="4">
        <f t="shared" si="19"/>
        <v>225284.18067060426</v>
      </c>
    </row>
    <row r="249" spans="1:6" x14ac:dyDescent="0.35">
      <c r="A249">
        <v>239</v>
      </c>
      <c r="B249" s="4">
        <f t="shared" si="15"/>
        <v>225284.18067060426</v>
      </c>
      <c r="C249" s="4">
        <f t="shared" si="16"/>
        <v>2528.2720939718552</v>
      </c>
      <c r="D249" s="4">
        <f t="shared" si="17"/>
        <v>1220.2893119657731</v>
      </c>
      <c r="E249" s="4">
        <f t="shared" si="18"/>
        <v>1307.9827820060821</v>
      </c>
      <c r="F249" s="4">
        <f t="shared" si="19"/>
        <v>223976.19788859817</v>
      </c>
    </row>
    <row r="250" spans="1:6" x14ac:dyDescent="0.35">
      <c r="A250">
        <v>240</v>
      </c>
      <c r="B250" s="4">
        <f t="shared" si="15"/>
        <v>223976.19788859817</v>
      </c>
      <c r="C250" s="4">
        <f t="shared" si="16"/>
        <v>2528.2720939718552</v>
      </c>
      <c r="D250" s="4">
        <f t="shared" si="17"/>
        <v>1213.2044052299068</v>
      </c>
      <c r="E250" s="4">
        <f t="shared" si="18"/>
        <v>1315.0676887419484</v>
      </c>
      <c r="F250" s="4">
        <f t="shared" si="19"/>
        <v>222661.13019985621</v>
      </c>
    </row>
    <row r="251" spans="1:6" x14ac:dyDescent="0.35">
      <c r="A251">
        <v>241</v>
      </c>
      <c r="B251" s="4">
        <f t="shared" si="15"/>
        <v>222661.13019985621</v>
      </c>
      <c r="C251" s="4">
        <f t="shared" si="16"/>
        <v>2528.2720939718552</v>
      </c>
      <c r="D251" s="4">
        <f t="shared" si="17"/>
        <v>1206.0811219158879</v>
      </c>
      <c r="E251" s="4">
        <f t="shared" si="18"/>
        <v>1322.1909720559672</v>
      </c>
      <c r="F251" s="4">
        <f t="shared" si="19"/>
        <v>221338.93922780023</v>
      </c>
    </row>
    <row r="252" spans="1:6" x14ac:dyDescent="0.35">
      <c r="A252">
        <v>242</v>
      </c>
      <c r="B252" s="4">
        <f t="shared" si="15"/>
        <v>221338.93922780023</v>
      </c>
      <c r="C252" s="4">
        <f t="shared" si="16"/>
        <v>2528.2720939718552</v>
      </c>
      <c r="D252" s="4">
        <f t="shared" si="17"/>
        <v>1198.9192541505847</v>
      </c>
      <c r="E252" s="4">
        <f t="shared" si="18"/>
        <v>1329.3528398212704</v>
      </c>
      <c r="F252" s="4">
        <f t="shared" si="19"/>
        <v>220009.58638797895</v>
      </c>
    </row>
    <row r="253" spans="1:6" x14ac:dyDescent="0.35">
      <c r="A253">
        <v>243</v>
      </c>
      <c r="B253" s="4">
        <f t="shared" si="15"/>
        <v>220009.58638797895</v>
      </c>
      <c r="C253" s="4">
        <f t="shared" si="16"/>
        <v>2528.2720939718552</v>
      </c>
      <c r="D253" s="4">
        <f t="shared" si="17"/>
        <v>1191.7185929348861</v>
      </c>
      <c r="E253" s="4">
        <f t="shared" si="18"/>
        <v>1336.553501036969</v>
      </c>
      <c r="F253" s="4">
        <f t="shared" si="19"/>
        <v>218673.03288694198</v>
      </c>
    </row>
    <row r="254" spans="1:6" x14ac:dyDescent="0.35">
      <c r="A254">
        <v>244</v>
      </c>
      <c r="B254" s="4">
        <f t="shared" si="15"/>
        <v>218673.03288694198</v>
      </c>
      <c r="C254" s="4">
        <f t="shared" si="16"/>
        <v>2528.2720939718552</v>
      </c>
      <c r="D254" s="4">
        <f t="shared" si="17"/>
        <v>1184.4789281376025</v>
      </c>
      <c r="E254" s="4">
        <f t="shared" si="18"/>
        <v>1343.7931658342527</v>
      </c>
      <c r="F254" s="4">
        <f t="shared" si="19"/>
        <v>217329.23972110773</v>
      </c>
    </row>
    <row r="255" spans="1:6" x14ac:dyDescent="0.35">
      <c r="A255">
        <v>245</v>
      </c>
      <c r="B255" s="4">
        <f t="shared" si="15"/>
        <v>217329.23972110773</v>
      </c>
      <c r="C255" s="4">
        <f t="shared" si="16"/>
        <v>2528.2720939718552</v>
      </c>
      <c r="D255" s="4">
        <f t="shared" si="17"/>
        <v>1177.2000484893335</v>
      </c>
      <c r="E255" s="4">
        <f t="shared" si="18"/>
        <v>1351.0720454825216</v>
      </c>
      <c r="F255" s="4">
        <f t="shared" si="19"/>
        <v>215978.16767562521</v>
      </c>
    </row>
    <row r="256" spans="1:6" x14ac:dyDescent="0.35">
      <c r="A256">
        <v>246</v>
      </c>
      <c r="B256" s="4">
        <f t="shared" si="15"/>
        <v>215978.16767562521</v>
      </c>
      <c r="C256" s="4">
        <f t="shared" si="16"/>
        <v>2528.2720939718552</v>
      </c>
      <c r="D256" s="4">
        <f t="shared" si="17"/>
        <v>1169.8817415763033</v>
      </c>
      <c r="E256" s="4">
        <f t="shared" si="18"/>
        <v>1358.3903523955519</v>
      </c>
      <c r="F256" s="4">
        <f t="shared" si="19"/>
        <v>214619.77732322967</v>
      </c>
    </row>
    <row r="257" spans="1:6" x14ac:dyDescent="0.35">
      <c r="A257">
        <v>247</v>
      </c>
      <c r="B257" s="4">
        <f t="shared" si="15"/>
        <v>214619.77732322967</v>
      </c>
      <c r="C257" s="4">
        <f t="shared" si="16"/>
        <v>2528.2720939718552</v>
      </c>
      <c r="D257" s="4">
        <f t="shared" si="17"/>
        <v>1162.5237938341609</v>
      </c>
      <c r="E257" s="4">
        <f t="shared" si="18"/>
        <v>1365.7483001376943</v>
      </c>
      <c r="F257" s="4">
        <f t="shared" si="19"/>
        <v>213254.02902309198</v>
      </c>
    </row>
    <row r="258" spans="1:6" x14ac:dyDescent="0.35">
      <c r="A258">
        <v>248</v>
      </c>
      <c r="B258" s="4">
        <f t="shared" si="15"/>
        <v>213254.02902309198</v>
      </c>
      <c r="C258" s="4">
        <f t="shared" si="16"/>
        <v>2528.2720939718552</v>
      </c>
      <c r="D258" s="4">
        <f t="shared" si="17"/>
        <v>1155.1259905417483</v>
      </c>
      <c r="E258" s="4">
        <f t="shared" si="18"/>
        <v>1373.1461034301069</v>
      </c>
      <c r="F258" s="4">
        <f t="shared" si="19"/>
        <v>211880.88291966188</v>
      </c>
    </row>
    <row r="259" spans="1:6" x14ac:dyDescent="0.35">
      <c r="A259">
        <v>249</v>
      </c>
      <c r="B259" s="4">
        <f t="shared" si="15"/>
        <v>211880.88291966188</v>
      </c>
      <c r="C259" s="4">
        <f t="shared" si="16"/>
        <v>2528.2720939718552</v>
      </c>
      <c r="D259" s="4">
        <f t="shared" si="17"/>
        <v>1147.6881158148351</v>
      </c>
      <c r="E259" s="4">
        <f t="shared" si="18"/>
        <v>1380.5839781570201</v>
      </c>
      <c r="F259" s="4">
        <f t="shared" si="19"/>
        <v>210500.29894150485</v>
      </c>
    </row>
    <row r="260" spans="1:6" x14ac:dyDescent="0.35">
      <c r="A260">
        <v>250</v>
      </c>
      <c r="B260" s="4">
        <f t="shared" si="15"/>
        <v>210500.29894150485</v>
      </c>
      <c r="C260" s="4">
        <f t="shared" si="16"/>
        <v>2528.2720939718552</v>
      </c>
      <c r="D260" s="4">
        <f t="shared" si="17"/>
        <v>1140.2099525998181</v>
      </c>
      <c r="E260" s="4">
        <f t="shared" si="18"/>
        <v>1388.0621413720371</v>
      </c>
      <c r="F260" s="4">
        <f t="shared" si="19"/>
        <v>209112.23680013281</v>
      </c>
    </row>
    <row r="261" spans="1:6" x14ac:dyDescent="0.35">
      <c r="A261">
        <v>251</v>
      </c>
      <c r="B261" s="4">
        <f t="shared" si="15"/>
        <v>209112.23680013281</v>
      </c>
      <c r="C261" s="4">
        <f t="shared" si="16"/>
        <v>2528.2720939718552</v>
      </c>
      <c r="D261" s="4">
        <f t="shared" si="17"/>
        <v>1132.6912826673861</v>
      </c>
      <c r="E261" s="4">
        <f t="shared" si="18"/>
        <v>1395.5808113044691</v>
      </c>
      <c r="F261" s="4">
        <f t="shared" si="19"/>
        <v>207716.65598882834</v>
      </c>
    </row>
    <row r="262" spans="1:6" x14ac:dyDescent="0.35">
      <c r="A262">
        <v>252</v>
      </c>
      <c r="B262" s="4">
        <f t="shared" si="15"/>
        <v>207716.65598882834</v>
      </c>
      <c r="C262" s="4">
        <f t="shared" si="16"/>
        <v>2528.2720939718552</v>
      </c>
      <c r="D262" s="4">
        <f t="shared" si="17"/>
        <v>1125.1318866061536</v>
      </c>
      <c r="E262" s="4">
        <f t="shared" si="18"/>
        <v>1403.1402073657016</v>
      </c>
      <c r="F262" s="4">
        <f t="shared" si="19"/>
        <v>206313.51578146263</v>
      </c>
    </row>
    <row r="263" spans="1:6" x14ac:dyDescent="0.35">
      <c r="A263">
        <v>253</v>
      </c>
      <c r="B263" s="4">
        <f t="shared" si="15"/>
        <v>206313.51578146263</v>
      </c>
      <c r="C263" s="4">
        <f t="shared" si="16"/>
        <v>2528.2720939718552</v>
      </c>
      <c r="D263" s="4">
        <f t="shared" si="17"/>
        <v>1117.5315438162559</v>
      </c>
      <c r="E263" s="4">
        <f t="shared" si="18"/>
        <v>1410.7405501555993</v>
      </c>
      <c r="F263" s="4">
        <f t="shared" si="19"/>
        <v>204902.77523130702</v>
      </c>
    </row>
    <row r="264" spans="1:6" x14ac:dyDescent="0.35">
      <c r="A264">
        <v>254</v>
      </c>
      <c r="B264" s="4">
        <f t="shared" si="15"/>
        <v>204902.77523130702</v>
      </c>
      <c r="C264" s="4">
        <f t="shared" si="16"/>
        <v>2528.2720939718552</v>
      </c>
      <c r="D264" s="4">
        <f t="shared" si="17"/>
        <v>1109.8900325029131</v>
      </c>
      <c r="E264" s="4">
        <f t="shared" si="18"/>
        <v>1418.3820614689421</v>
      </c>
      <c r="F264" s="4">
        <f t="shared" si="19"/>
        <v>203484.39316983809</v>
      </c>
    </row>
    <row r="265" spans="1:6" x14ac:dyDescent="0.35">
      <c r="A265">
        <v>255</v>
      </c>
      <c r="B265" s="4">
        <f t="shared" si="15"/>
        <v>203484.39316983809</v>
      </c>
      <c r="C265" s="4">
        <f t="shared" si="16"/>
        <v>2528.2720939718552</v>
      </c>
      <c r="D265" s="4">
        <f t="shared" si="17"/>
        <v>1102.2071296699564</v>
      </c>
      <c r="E265" s="4">
        <f t="shared" si="18"/>
        <v>1426.0649643018987</v>
      </c>
      <c r="F265" s="4">
        <f t="shared" si="19"/>
        <v>202058.32820553618</v>
      </c>
    </row>
    <row r="266" spans="1:6" x14ac:dyDescent="0.35">
      <c r="A266">
        <v>256</v>
      </c>
      <c r="B266" s="4">
        <f t="shared" si="15"/>
        <v>202058.32820553618</v>
      </c>
      <c r="C266" s="4">
        <f t="shared" si="16"/>
        <v>2528.2720939718552</v>
      </c>
      <c r="D266" s="4">
        <f t="shared" si="17"/>
        <v>1094.4826111133209</v>
      </c>
      <c r="E266" s="4">
        <f t="shared" si="18"/>
        <v>1433.7894828585343</v>
      </c>
      <c r="F266" s="4">
        <f t="shared" si="19"/>
        <v>200624.53872267765</v>
      </c>
    </row>
    <row r="267" spans="1:6" x14ac:dyDescent="0.35">
      <c r="A267">
        <v>257</v>
      </c>
      <c r="B267" s="4">
        <f t="shared" si="15"/>
        <v>200624.53872267765</v>
      </c>
      <c r="C267" s="4">
        <f t="shared" si="16"/>
        <v>2528.2720939718552</v>
      </c>
      <c r="D267" s="4">
        <f t="shared" si="17"/>
        <v>1086.7162514145041</v>
      </c>
      <c r="E267" s="4">
        <f t="shared" si="18"/>
        <v>1441.5558425573511</v>
      </c>
      <c r="F267" s="4">
        <f t="shared" si="19"/>
        <v>199182.98288012031</v>
      </c>
    </row>
    <row r="268" spans="1:6" x14ac:dyDescent="0.35">
      <c r="A268">
        <v>258</v>
      </c>
      <c r="B268" s="4">
        <f t="shared" ref="B268:B331" si="20">F267</f>
        <v>199182.98288012031</v>
      </c>
      <c r="C268" s="4">
        <f t="shared" ref="C268:C331" si="21">IF(A268&gt;($B$4*12), "", $B$6)</f>
        <v>2528.2720939718552</v>
      </c>
      <c r="D268" s="4">
        <f t="shared" ref="D268:D331" si="22">IF(B268&lt;=0, 0, B268*($B$3/12))</f>
        <v>1078.9078239339851</v>
      </c>
      <c r="E268" s="4">
        <f t="shared" ref="E268:E331" si="23">IF(B268&lt;=0, 0, C268-D268)</f>
        <v>1449.36427003787</v>
      </c>
      <c r="F268" s="4">
        <f t="shared" ref="F268:F331" si="24">IF(B268&lt;=0, 0, B268-E268)</f>
        <v>197733.61861008243</v>
      </c>
    </row>
    <row r="269" spans="1:6" x14ac:dyDescent="0.35">
      <c r="A269">
        <v>259</v>
      </c>
      <c r="B269" s="4">
        <f t="shared" si="20"/>
        <v>197733.61861008243</v>
      </c>
      <c r="C269" s="4">
        <f t="shared" si="21"/>
        <v>2528.2720939718552</v>
      </c>
      <c r="D269" s="4">
        <f t="shared" si="22"/>
        <v>1071.0571008046131</v>
      </c>
      <c r="E269" s="4">
        <f t="shared" si="23"/>
        <v>1457.214993167242</v>
      </c>
      <c r="F269" s="4">
        <f t="shared" si="24"/>
        <v>196276.4036169152</v>
      </c>
    </row>
    <row r="270" spans="1:6" x14ac:dyDescent="0.35">
      <c r="A270">
        <v>260</v>
      </c>
      <c r="B270" s="4">
        <f t="shared" si="20"/>
        <v>196276.4036169152</v>
      </c>
      <c r="C270" s="4">
        <f t="shared" si="21"/>
        <v>2528.2720939718552</v>
      </c>
      <c r="D270" s="4">
        <f t="shared" si="22"/>
        <v>1063.1638529249574</v>
      </c>
      <c r="E270" s="4">
        <f t="shared" si="23"/>
        <v>1465.1082410468978</v>
      </c>
      <c r="F270" s="4">
        <f t="shared" si="24"/>
        <v>194811.2953758683</v>
      </c>
    </row>
    <row r="271" spans="1:6" x14ac:dyDescent="0.35">
      <c r="A271">
        <v>261</v>
      </c>
      <c r="B271" s="4">
        <f t="shared" si="20"/>
        <v>194811.2953758683</v>
      </c>
      <c r="C271" s="4">
        <f t="shared" si="21"/>
        <v>2528.2720939718552</v>
      </c>
      <c r="D271" s="4">
        <f t="shared" si="22"/>
        <v>1055.2278499526201</v>
      </c>
      <c r="E271" s="4">
        <f t="shared" si="23"/>
        <v>1473.0442440192351</v>
      </c>
      <c r="F271" s="4">
        <f t="shared" si="24"/>
        <v>193338.25113184907</v>
      </c>
    </row>
    <row r="272" spans="1:6" x14ac:dyDescent="0.35">
      <c r="A272">
        <v>262</v>
      </c>
      <c r="B272" s="4">
        <f t="shared" si="20"/>
        <v>193338.25113184907</v>
      </c>
      <c r="C272" s="4">
        <f t="shared" si="21"/>
        <v>2528.2720939718552</v>
      </c>
      <c r="D272" s="4">
        <f t="shared" si="22"/>
        <v>1047.2488602975159</v>
      </c>
      <c r="E272" s="4">
        <f t="shared" si="23"/>
        <v>1481.0232336743393</v>
      </c>
      <c r="F272" s="4">
        <f t="shared" si="24"/>
        <v>191857.22789817472</v>
      </c>
    </row>
    <row r="273" spans="1:6" x14ac:dyDescent="0.35">
      <c r="A273">
        <v>263</v>
      </c>
      <c r="B273" s="4">
        <f t="shared" si="20"/>
        <v>191857.22789817472</v>
      </c>
      <c r="C273" s="4">
        <f t="shared" si="21"/>
        <v>2528.2720939718552</v>
      </c>
      <c r="D273" s="4">
        <f t="shared" si="22"/>
        <v>1039.2266511151131</v>
      </c>
      <c r="E273" s="4">
        <f t="shared" si="23"/>
        <v>1489.0454428567421</v>
      </c>
      <c r="F273" s="4">
        <f t="shared" si="24"/>
        <v>190368.18245531799</v>
      </c>
    </row>
    <row r="274" spans="1:6" x14ac:dyDescent="0.35">
      <c r="A274">
        <v>264</v>
      </c>
      <c r="B274" s="4">
        <f t="shared" si="20"/>
        <v>190368.18245531799</v>
      </c>
      <c r="C274" s="4">
        <f t="shared" si="21"/>
        <v>2528.2720939718552</v>
      </c>
      <c r="D274" s="4">
        <f t="shared" si="22"/>
        <v>1031.1609882996393</v>
      </c>
      <c r="E274" s="4">
        <f t="shared" si="23"/>
        <v>1497.1111056722159</v>
      </c>
      <c r="F274" s="4">
        <f t="shared" si="24"/>
        <v>188871.07134964576</v>
      </c>
    </row>
    <row r="275" spans="1:6" x14ac:dyDescent="0.35">
      <c r="A275">
        <v>265</v>
      </c>
      <c r="B275" s="4">
        <f t="shared" si="20"/>
        <v>188871.07134964576</v>
      </c>
      <c r="C275" s="4">
        <f t="shared" si="21"/>
        <v>2528.2720939718552</v>
      </c>
      <c r="D275" s="4">
        <f t="shared" si="22"/>
        <v>1023.0516364772479</v>
      </c>
      <c r="E275" s="4">
        <f t="shared" si="23"/>
        <v>1505.2204574946072</v>
      </c>
      <c r="F275" s="4">
        <f t="shared" si="24"/>
        <v>187365.85089215115</v>
      </c>
    </row>
    <row r="276" spans="1:6" x14ac:dyDescent="0.35">
      <c r="A276">
        <v>266</v>
      </c>
      <c r="B276" s="4">
        <f t="shared" si="20"/>
        <v>187365.85089215115</v>
      </c>
      <c r="C276" s="4">
        <f t="shared" si="21"/>
        <v>2528.2720939718552</v>
      </c>
      <c r="D276" s="4">
        <f t="shared" si="22"/>
        <v>1014.8983589991522</v>
      </c>
      <c r="E276" s="4">
        <f t="shared" si="23"/>
        <v>1513.373734972703</v>
      </c>
      <c r="F276" s="4">
        <f t="shared" si="24"/>
        <v>185852.47715717845</v>
      </c>
    </row>
    <row r="277" spans="1:6" x14ac:dyDescent="0.35">
      <c r="A277">
        <v>267</v>
      </c>
      <c r="B277" s="4">
        <f t="shared" si="20"/>
        <v>185852.47715717845</v>
      </c>
      <c r="C277" s="4">
        <f t="shared" si="21"/>
        <v>2528.2720939718552</v>
      </c>
      <c r="D277" s="4">
        <f t="shared" si="22"/>
        <v>1006.7009179347167</v>
      </c>
      <c r="E277" s="4">
        <f t="shared" si="23"/>
        <v>1521.5711760371385</v>
      </c>
      <c r="F277" s="4">
        <f t="shared" si="24"/>
        <v>184330.90598114132</v>
      </c>
    </row>
    <row r="278" spans="1:6" x14ac:dyDescent="0.35">
      <c r="A278">
        <v>268</v>
      </c>
      <c r="B278" s="4">
        <f t="shared" si="20"/>
        <v>184330.90598114132</v>
      </c>
      <c r="C278" s="4">
        <f t="shared" si="21"/>
        <v>2528.2720939718552</v>
      </c>
      <c r="D278" s="4">
        <f t="shared" si="22"/>
        <v>998.45907406451545</v>
      </c>
      <c r="E278" s="4">
        <f t="shared" si="23"/>
        <v>1529.8130199073398</v>
      </c>
      <c r="F278" s="4">
        <f t="shared" si="24"/>
        <v>182801.09296123398</v>
      </c>
    </row>
    <row r="279" spans="1:6" x14ac:dyDescent="0.35">
      <c r="A279">
        <v>269</v>
      </c>
      <c r="B279" s="4">
        <f t="shared" si="20"/>
        <v>182801.09296123398</v>
      </c>
      <c r="C279" s="4">
        <f t="shared" si="21"/>
        <v>2528.2720939718552</v>
      </c>
      <c r="D279" s="4">
        <f t="shared" si="22"/>
        <v>990.17258687335072</v>
      </c>
      <c r="E279" s="4">
        <f t="shared" si="23"/>
        <v>1538.0995070985045</v>
      </c>
      <c r="F279" s="4">
        <f t="shared" si="24"/>
        <v>181262.99345413549</v>
      </c>
    </row>
    <row r="280" spans="1:6" x14ac:dyDescent="0.35">
      <c r="A280">
        <v>270</v>
      </c>
      <c r="B280" s="4">
        <f t="shared" si="20"/>
        <v>181262.99345413549</v>
      </c>
      <c r="C280" s="4">
        <f t="shared" si="21"/>
        <v>2528.2720939718552</v>
      </c>
      <c r="D280" s="4">
        <f t="shared" si="22"/>
        <v>981.84121454323395</v>
      </c>
      <c r="E280" s="4">
        <f t="shared" si="23"/>
        <v>1546.4308794286212</v>
      </c>
      <c r="F280" s="4">
        <f t="shared" si="24"/>
        <v>179716.56257470686</v>
      </c>
    </row>
    <row r="281" spans="1:6" x14ac:dyDescent="0.35">
      <c r="A281">
        <v>271</v>
      </c>
      <c r="B281" s="4">
        <f t="shared" si="20"/>
        <v>179716.56257470686</v>
      </c>
      <c r="C281" s="4">
        <f t="shared" si="21"/>
        <v>2528.2720939718552</v>
      </c>
      <c r="D281" s="4">
        <f t="shared" si="22"/>
        <v>973.46471394632886</v>
      </c>
      <c r="E281" s="4">
        <f t="shared" si="23"/>
        <v>1554.8073800255263</v>
      </c>
      <c r="F281" s="4">
        <f t="shared" si="24"/>
        <v>178161.75519468132</v>
      </c>
    </row>
    <row r="282" spans="1:6" x14ac:dyDescent="0.35">
      <c r="A282">
        <v>272</v>
      </c>
      <c r="B282" s="4">
        <f t="shared" si="20"/>
        <v>178161.75519468132</v>
      </c>
      <c r="C282" s="4">
        <f t="shared" si="21"/>
        <v>2528.2720939718552</v>
      </c>
      <c r="D282" s="4">
        <f t="shared" si="22"/>
        <v>965.04284063785713</v>
      </c>
      <c r="E282" s="4">
        <f t="shared" si="23"/>
        <v>1563.229253333998</v>
      </c>
      <c r="F282" s="4">
        <f t="shared" si="24"/>
        <v>176598.52594134732</v>
      </c>
    </row>
    <row r="283" spans="1:6" x14ac:dyDescent="0.35">
      <c r="A283">
        <v>273</v>
      </c>
      <c r="B283" s="4">
        <f t="shared" si="20"/>
        <v>176598.52594134732</v>
      </c>
      <c r="C283" s="4">
        <f t="shared" si="21"/>
        <v>2528.2720939718552</v>
      </c>
      <c r="D283" s="4">
        <f t="shared" si="22"/>
        <v>956.57534884896472</v>
      </c>
      <c r="E283" s="4">
        <f t="shared" si="23"/>
        <v>1571.6967451228904</v>
      </c>
      <c r="F283" s="4">
        <f t="shared" si="24"/>
        <v>175026.82919622443</v>
      </c>
    </row>
    <row r="284" spans="1:6" x14ac:dyDescent="0.35">
      <c r="A284">
        <v>274</v>
      </c>
      <c r="B284" s="4">
        <f t="shared" si="20"/>
        <v>175026.82919622443</v>
      </c>
      <c r="C284" s="4">
        <f t="shared" si="21"/>
        <v>2528.2720939718552</v>
      </c>
      <c r="D284" s="4">
        <f t="shared" si="22"/>
        <v>948.06199147954896</v>
      </c>
      <c r="E284" s="4">
        <f t="shared" si="23"/>
        <v>1580.2101024923063</v>
      </c>
      <c r="F284" s="4">
        <f t="shared" si="24"/>
        <v>173446.61909373212</v>
      </c>
    </row>
    <row r="285" spans="1:6" x14ac:dyDescent="0.35">
      <c r="A285">
        <v>275</v>
      </c>
      <c r="B285" s="4">
        <f t="shared" si="20"/>
        <v>173446.61909373212</v>
      </c>
      <c r="C285" s="4">
        <f t="shared" si="21"/>
        <v>2528.2720939718552</v>
      </c>
      <c r="D285" s="4">
        <f t="shared" si="22"/>
        <v>939.50252009104906</v>
      </c>
      <c r="E285" s="4">
        <f t="shared" si="23"/>
        <v>1588.7695738808061</v>
      </c>
      <c r="F285" s="4">
        <f t="shared" si="24"/>
        <v>171857.84951985133</v>
      </c>
    </row>
    <row r="286" spans="1:6" x14ac:dyDescent="0.35">
      <c r="A286">
        <v>276</v>
      </c>
      <c r="B286" s="4">
        <f t="shared" si="20"/>
        <v>171857.84951985133</v>
      </c>
      <c r="C286" s="4">
        <f t="shared" si="21"/>
        <v>2528.2720939718552</v>
      </c>
      <c r="D286" s="4">
        <f t="shared" si="22"/>
        <v>930.89668489919472</v>
      </c>
      <c r="E286" s="4">
        <f t="shared" si="23"/>
        <v>1597.3754090726604</v>
      </c>
      <c r="F286" s="4">
        <f t="shared" si="24"/>
        <v>170260.47411077865</v>
      </c>
    </row>
    <row r="287" spans="1:6" x14ac:dyDescent="0.35">
      <c r="A287">
        <v>277</v>
      </c>
      <c r="B287" s="4">
        <f t="shared" si="20"/>
        <v>170260.47411077865</v>
      </c>
      <c r="C287" s="4">
        <f t="shared" si="21"/>
        <v>2528.2720939718552</v>
      </c>
      <c r="D287" s="4">
        <f t="shared" si="22"/>
        <v>922.2442347667178</v>
      </c>
      <c r="E287" s="4">
        <f t="shared" si="23"/>
        <v>1606.0278592051372</v>
      </c>
      <c r="F287" s="4">
        <f t="shared" si="24"/>
        <v>168654.44625157351</v>
      </c>
    </row>
    <row r="288" spans="1:6" x14ac:dyDescent="0.35">
      <c r="A288">
        <v>278</v>
      </c>
      <c r="B288" s="4">
        <f t="shared" si="20"/>
        <v>168654.44625157351</v>
      </c>
      <c r="C288" s="4">
        <f t="shared" si="21"/>
        <v>2528.2720939718552</v>
      </c>
      <c r="D288" s="4">
        <f t="shared" si="22"/>
        <v>913.54491719602322</v>
      </c>
      <c r="E288" s="4">
        <f t="shared" si="23"/>
        <v>1614.727176775832</v>
      </c>
      <c r="F288" s="4">
        <f t="shared" si="24"/>
        <v>167039.71907479767</v>
      </c>
    </row>
    <row r="289" spans="1:6" x14ac:dyDescent="0.35">
      <c r="A289">
        <v>279</v>
      </c>
      <c r="B289" s="4">
        <f t="shared" si="20"/>
        <v>167039.71907479767</v>
      </c>
      <c r="C289" s="4">
        <f t="shared" si="21"/>
        <v>2528.2720939718552</v>
      </c>
      <c r="D289" s="4">
        <f t="shared" si="22"/>
        <v>904.79847832182077</v>
      </c>
      <c r="E289" s="4">
        <f t="shared" si="23"/>
        <v>1623.4736156500344</v>
      </c>
      <c r="F289" s="4">
        <f t="shared" si="24"/>
        <v>165416.24545914764</v>
      </c>
    </row>
    <row r="290" spans="1:6" x14ac:dyDescent="0.35">
      <c r="A290">
        <v>280</v>
      </c>
      <c r="B290" s="4">
        <f t="shared" si="20"/>
        <v>165416.24545914764</v>
      </c>
      <c r="C290" s="4">
        <f t="shared" si="21"/>
        <v>2528.2720939718552</v>
      </c>
      <c r="D290" s="4">
        <f t="shared" si="22"/>
        <v>896.00466290371639</v>
      </c>
      <c r="E290" s="4">
        <f t="shared" si="23"/>
        <v>1632.2674310681386</v>
      </c>
      <c r="F290" s="4">
        <f t="shared" si="24"/>
        <v>163783.97802807949</v>
      </c>
    </row>
    <row r="291" spans="1:6" x14ac:dyDescent="0.35">
      <c r="A291">
        <v>281</v>
      </c>
      <c r="B291" s="4">
        <f t="shared" si="20"/>
        <v>163783.97802807949</v>
      </c>
      <c r="C291" s="4">
        <f t="shared" si="21"/>
        <v>2528.2720939718552</v>
      </c>
      <c r="D291" s="4">
        <f t="shared" si="22"/>
        <v>887.16321431876395</v>
      </c>
      <c r="E291" s="4">
        <f t="shared" si="23"/>
        <v>1641.1088796530912</v>
      </c>
      <c r="F291" s="4">
        <f t="shared" si="24"/>
        <v>162142.8691484264</v>
      </c>
    </row>
    <row r="292" spans="1:6" x14ac:dyDescent="0.35">
      <c r="A292">
        <v>282</v>
      </c>
      <c r="B292" s="4">
        <f t="shared" si="20"/>
        <v>162142.8691484264</v>
      </c>
      <c r="C292" s="4">
        <f t="shared" si="21"/>
        <v>2528.2720939718552</v>
      </c>
      <c r="D292" s="4">
        <f t="shared" si="22"/>
        <v>878.27387455397638</v>
      </c>
      <c r="E292" s="4">
        <f t="shared" si="23"/>
        <v>1649.9982194178788</v>
      </c>
      <c r="F292" s="4">
        <f t="shared" si="24"/>
        <v>160492.87092900852</v>
      </c>
    </row>
    <row r="293" spans="1:6" x14ac:dyDescent="0.35">
      <c r="A293">
        <v>283</v>
      </c>
      <c r="B293" s="4">
        <f t="shared" si="20"/>
        <v>160492.87092900852</v>
      </c>
      <c r="C293" s="4">
        <f t="shared" si="21"/>
        <v>2528.2720939718552</v>
      </c>
      <c r="D293" s="4">
        <f t="shared" si="22"/>
        <v>869.33638419879617</v>
      </c>
      <c r="E293" s="4">
        <f t="shared" si="23"/>
        <v>1658.935709773059</v>
      </c>
      <c r="F293" s="4">
        <f t="shared" si="24"/>
        <v>158833.93521923546</v>
      </c>
    </row>
    <row r="294" spans="1:6" x14ac:dyDescent="0.35">
      <c r="A294">
        <v>284</v>
      </c>
      <c r="B294" s="4">
        <f t="shared" si="20"/>
        <v>158833.93521923546</v>
      </c>
      <c r="C294" s="4">
        <f t="shared" si="21"/>
        <v>2528.2720939718552</v>
      </c>
      <c r="D294" s="4">
        <f t="shared" si="22"/>
        <v>860.35048243752544</v>
      </c>
      <c r="E294" s="4">
        <f t="shared" si="23"/>
        <v>1667.9216115343297</v>
      </c>
      <c r="F294" s="4">
        <f t="shared" si="24"/>
        <v>157166.01360770111</v>
      </c>
    </row>
    <row r="295" spans="1:6" x14ac:dyDescent="0.35">
      <c r="A295">
        <v>285</v>
      </c>
      <c r="B295" s="4">
        <f t="shared" si="20"/>
        <v>157166.01360770111</v>
      </c>
      <c r="C295" s="4">
        <f t="shared" si="21"/>
        <v>2528.2720939718552</v>
      </c>
      <c r="D295" s="4">
        <f t="shared" si="22"/>
        <v>851.31590704171435</v>
      </c>
      <c r="E295" s="4">
        <f t="shared" si="23"/>
        <v>1676.9561869301408</v>
      </c>
      <c r="F295" s="4">
        <f t="shared" si="24"/>
        <v>155489.05742077096</v>
      </c>
    </row>
    <row r="296" spans="1:6" x14ac:dyDescent="0.35">
      <c r="A296">
        <v>286</v>
      </c>
      <c r="B296" s="4">
        <f t="shared" si="20"/>
        <v>155489.05742077096</v>
      </c>
      <c r="C296" s="4">
        <f t="shared" si="21"/>
        <v>2528.2720939718552</v>
      </c>
      <c r="D296" s="4">
        <f t="shared" si="22"/>
        <v>842.23239436250935</v>
      </c>
      <c r="E296" s="4">
        <f t="shared" si="23"/>
        <v>1686.0396996093459</v>
      </c>
      <c r="F296" s="4">
        <f t="shared" si="24"/>
        <v>153803.01772116162</v>
      </c>
    </row>
    <row r="297" spans="1:6" x14ac:dyDescent="0.35">
      <c r="A297">
        <v>287</v>
      </c>
      <c r="B297" s="4">
        <f t="shared" si="20"/>
        <v>153803.01772116162</v>
      </c>
      <c r="C297" s="4">
        <f t="shared" si="21"/>
        <v>2528.2720939718552</v>
      </c>
      <c r="D297" s="4">
        <f t="shared" si="22"/>
        <v>833.09967932295888</v>
      </c>
      <c r="E297" s="4">
        <f t="shared" si="23"/>
        <v>1695.1724146488964</v>
      </c>
      <c r="F297" s="4">
        <f t="shared" si="24"/>
        <v>152107.84530651273</v>
      </c>
    </row>
    <row r="298" spans="1:6" x14ac:dyDescent="0.35">
      <c r="A298">
        <v>288</v>
      </c>
      <c r="B298" s="4">
        <f t="shared" si="20"/>
        <v>152107.84530651273</v>
      </c>
      <c r="C298" s="4">
        <f t="shared" si="21"/>
        <v>2528.2720939718552</v>
      </c>
      <c r="D298" s="4">
        <f t="shared" si="22"/>
        <v>823.9174954102773</v>
      </c>
      <c r="E298" s="4">
        <f t="shared" si="23"/>
        <v>1704.3545985615779</v>
      </c>
      <c r="F298" s="4">
        <f t="shared" si="24"/>
        <v>150403.49070795116</v>
      </c>
    </row>
    <row r="299" spans="1:6" x14ac:dyDescent="0.35">
      <c r="A299">
        <v>289</v>
      </c>
      <c r="B299" s="4">
        <f t="shared" si="20"/>
        <v>150403.49070795116</v>
      </c>
      <c r="C299" s="4">
        <f t="shared" si="21"/>
        <v>2528.2720939718552</v>
      </c>
      <c r="D299" s="4">
        <f t="shared" si="22"/>
        <v>814.68557466806885</v>
      </c>
      <c r="E299" s="4">
        <f t="shared" si="23"/>
        <v>1713.5865193037862</v>
      </c>
      <c r="F299" s="4">
        <f t="shared" si="24"/>
        <v>148689.90418864737</v>
      </c>
    </row>
    <row r="300" spans="1:6" x14ac:dyDescent="0.35">
      <c r="A300">
        <v>290</v>
      </c>
      <c r="B300" s="4">
        <f t="shared" si="20"/>
        <v>148689.90418864737</v>
      </c>
      <c r="C300" s="4">
        <f t="shared" si="21"/>
        <v>2528.2720939718552</v>
      </c>
      <c r="D300" s="4">
        <f t="shared" si="22"/>
        <v>805.40364768850657</v>
      </c>
      <c r="E300" s="4">
        <f t="shared" si="23"/>
        <v>1722.8684462833485</v>
      </c>
      <c r="F300" s="4">
        <f t="shared" si="24"/>
        <v>146967.03574236401</v>
      </c>
    </row>
    <row r="301" spans="1:6" x14ac:dyDescent="0.35">
      <c r="A301">
        <v>291</v>
      </c>
      <c r="B301" s="4">
        <f t="shared" si="20"/>
        <v>146967.03574236401</v>
      </c>
      <c r="C301" s="4">
        <f t="shared" si="21"/>
        <v>2528.2720939718552</v>
      </c>
      <c r="D301" s="4">
        <f t="shared" si="22"/>
        <v>796.07144360447171</v>
      </c>
      <c r="E301" s="4">
        <f t="shared" si="23"/>
        <v>1732.2006503673833</v>
      </c>
      <c r="F301" s="4">
        <f t="shared" si="24"/>
        <v>145234.83509199662</v>
      </c>
    </row>
    <row r="302" spans="1:6" x14ac:dyDescent="0.35">
      <c r="A302">
        <v>292</v>
      </c>
      <c r="B302" s="4">
        <f t="shared" si="20"/>
        <v>145234.83509199662</v>
      </c>
      <c r="C302" s="4">
        <f t="shared" si="21"/>
        <v>2528.2720939718552</v>
      </c>
      <c r="D302" s="4">
        <f t="shared" si="22"/>
        <v>786.68869008164836</v>
      </c>
      <c r="E302" s="4">
        <f t="shared" si="23"/>
        <v>1741.5834038902067</v>
      </c>
      <c r="F302" s="4">
        <f t="shared" si="24"/>
        <v>143493.25168810642</v>
      </c>
    </row>
    <row r="303" spans="1:6" x14ac:dyDescent="0.35">
      <c r="A303">
        <v>293</v>
      </c>
      <c r="B303" s="4">
        <f t="shared" si="20"/>
        <v>143493.25168810642</v>
      </c>
      <c r="C303" s="4">
        <f t="shared" si="21"/>
        <v>2528.2720939718552</v>
      </c>
      <c r="D303" s="4">
        <f t="shared" si="22"/>
        <v>777.25511331057646</v>
      </c>
      <c r="E303" s="4">
        <f t="shared" si="23"/>
        <v>1751.0169806612787</v>
      </c>
      <c r="F303" s="4">
        <f t="shared" si="24"/>
        <v>141742.23470744514</v>
      </c>
    </row>
    <row r="304" spans="1:6" x14ac:dyDescent="0.35">
      <c r="A304">
        <v>294</v>
      </c>
      <c r="B304" s="4">
        <f t="shared" si="20"/>
        <v>141742.23470744514</v>
      </c>
      <c r="C304" s="4">
        <f t="shared" si="21"/>
        <v>2528.2720939718552</v>
      </c>
      <c r="D304" s="4">
        <f t="shared" si="22"/>
        <v>767.77043799866124</v>
      </c>
      <c r="E304" s="4">
        <f t="shared" si="23"/>
        <v>1760.5016559731939</v>
      </c>
      <c r="F304" s="4">
        <f t="shared" si="24"/>
        <v>139981.73305147194</v>
      </c>
    </row>
    <row r="305" spans="1:6" x14ac:dyDescent="0.35">
      <c r="A305">
        <v>295</v>
      </c>
      <c r="B305" s="4">
        <f t="shared" si="20"/>
        <v>139981.73305147194</v>
      </c>
      <c r="C305" s="4">
        <f t="shared" si="21"/>
        <v>2528.2720939718552</v>
      </c>
      <c r="D305" s="4">
        <f t="shared" si="22"/>
        <v>758.23438736213973</v>
      </c>
      <c r="E305" s="4">
        <f t="shared" si="23"/>
        <v>1770.0377066097153</v>
      </c>
      <c r="F305" s="4">
        <f t="shared" si="24"/>
        <v>138211.69534486221</v>
      </c>
    </row>
    <row r="306" spans="1:6" x14ac:dyDescent="0.35">
      <c r="A306">
        <v>296</v>
      </c>
      <c r="B306" s="4">
        <f t="shared" si="20"/>
        <v>138211.69534486221</v>
      </c>
      <c r="C306" s="4">
        <f t="shared" si="21"/>
        <v>2528.2720939718552</v>
      </c>
      <c r="D306" s="4">
        <f t="shared" si="22"/>
        <v>748.64668311800369</v>
      </c>
      <c r="E306" s="4">
        <f t="shared" si="23"/>
        <v>1779.6254108538515</v>
      </c>
      <c r="F306" s="4">
        <f t="shared" si="24"/>
        <v>136432.06993400835</v>
      </c>
    </row>
    <row r="307" spans="1:6" x14ac:dyDescent="0.35">
      <c r="A307">
        <v>297</v>
      </c>
      <c r="B307" s="4">
        <f t="shared" si="20"/>
        <v>136432.06993400835</v>
      </c>
      <c r="C307" s="4">
        <f t="shared" si="21"/>
        <v>2528.2720939718552</v>
      </c>
      <c r="D307" s="4">
        <f t="shared" si="22"/>
        <v>739.00704547587861</v>
      </c>
      <c r="E307" s="4">
        <f t="shared" si="23"/>
        <v>1789.2650484959765</v>
      </c>
      <c r="F307" s="4">
        <f t="shared" si="24"/>
        <v>134642.80488551236</v>
      </c>
    </row>
    <row r="308" spans="1:6" x14ac:dyDescent="0.35">
      <c r="A308">
        <v>298</v>
      </c>
      <c r="B308" s="4">
        <f t="shared" si="20"/>
        <v>134642.80488551236</v>
      </c>
      <c r="C308" s="4">
        <f t="shared" si="21"/>
        <v>2528.2720939718552</v>
      </c>
      <c r="D308" s="4">
        <f t="shared" si="22"/>
        <v>729.3151931298587</v>
      </c>
      <c r="E308" s="4">
        <f t="shared" si="23"/>
        <v>1798.9569008419965</v>
      </c>
      <c r="F308" s="4">
        <f t="shared" si="24"/>
        <v>132843.84798467037</v>
      </c>
    </row>
    <row r="309" spans="1:6" x14ac:dyDescent="0.35">
      <c r="A309">
        <v>299</v>
      </c>
      <c r="B309" s="4">
        <f t="shared" si="20"/>
        <v>132843.84798467037</v>
      </c>
      <c r="C309" s="4">
        <f t="shared" si="21"/>
        <v>2528.2720939718552</v>
      </c>
      <c r="D309" s="4">
        <f t="shared" si="22"/>
        <v>719.57084325029791</v>
      </c>
      <c r="E309" s="4">
        <f t="shared" si="23"/>
        <v>1808.7012507215572</v>
      </c>
      <c r="F309" s="4">
        <f t="shared" si="24"/>
        <v>131035.14673394882</v>
      </c>
    </row>
    <row r="310" spans="1:6" x14ac:dyDescent="0.35">
      <c r="A310">
        <v>300</v>
      </c>
      <c r="B310" s="4">
        <f t="shared" si="20"/>
        <v>131035.14673394882</v>
      </c>
      <c r="C310" s="4">
        <f t="shared" si="21"/>
        <v>2528.2720939718552</v>
      </c>
      <c r="D310" s="4">
        <f t="shared" si="22"/>
        <v>709.77371147555607</v>
      </c>
      <c r="E310" s="4">
        <f t="shared" si="23"/>
        <v>1818.4983824962992</v>
      </c>
      <c r="F310" s="4">
        <f t="shared" si="24"/>
        <v>129216.64835145252</v>
      </c>
    </row>
    <row r="311" spans="1:6" x14ac:dyDescent="0.35">
      <c r="A311">
        <v>301</v>
      </c>
      <c r="B311" s="4">
        <f t="shared" si="20"/>
        <v>129216.64835145252</v>
      </c>
      <c r="C311" s="4">
        <f t="shared" si="21"/>
        <v>2528.2720939718552</v>
      </c>
      <c r="D311" s="4">
        <f t="shared" si="22"/>
        <v>699.92351190370118</v>
      </c>
      <c r="E311" s="4">
        <f t="shared" si="23"/>
        <v>1828.348582068154</v>
      </c>
      <c r="F311" s="4">
        <f t="shared" si="24"/>
        <v>127388.29976938436</v>
      </c>
    </row>
    <row r="312" spans="1:6" x14ac:dyDescent="0.35">
      <c r="A312">
        <v>302</v>
      </c>
      <c r="B312" s="4">
        <f t="shared" si="20"/>
        <v>127388.29976938436</v>
      </c>
      <c r="C312" s="4">
        <f t="shared" si="21"/>
        <v>2528.2720939718552</v>
      </c>
      <c r="D312" s="4">
        <f t="shared" si="22"/>
        <v>690.0199570841653</v>
      </c>
      <c r="E312" s="4">
        <f t="shared" si="23"/>
        <v>1838.2521368876899</v>
      </c>
      <c r="F312" s="4">
        <f t="shared" si="24"/>
        <v>125550.04763249667</v>
      </c>
    </row>
    <row r="313" spans="1:6" x14ac:dyDescent="0.35">
      <c r="A313">
        <v>303</v>
      </c>
      <c r="B313" s="4">
        <f t="shared" si="20"/>
        <v>125550.04763249667</v>
      </c>
      <c r="C313" s="4">
        <f t="shared" si="21"/>
        <v>2528.2720939718552</v>
      </c>
      <c r="D313" s="4">
        <f t="shared" si="22"/>
        <v>680.06275800935703</v>
      </c>
      <c r="E313" s="4">
        <f t="shared" si="23"/>
        <v>1848.2093359624982</v>
      </c>
      <c r="F313" s="4">
        <f t="shared" si="24"/>
        <v>123701.83829653417</v>
      </c>
    </row>
    <row r="314" spans="1:6" x14ac:dyDescent="0.35">
      <c r="A314">
        <v>304</v>
      </c>
      <c r="B314" s="4">
        <f t="shared" si="20"/>
        <v>123701.83829653417</v>
      </c>
      <c r="C314" s="4">
        <f t="shared" si="21"/>
        <v>2528.2720939718552</v>
      </c>
      <c r="D314" s="4">
        <f t="shared" si="22"/>
        <v>670.05162410622677</v>
      </c>
      <c r="E314" s="4">
        <f t="shared" si="23"/>
        <v>1858.2204698656283</v>
      </c>
      <c r="F314" s="4">
        <f t="shared" si="24"/>
        <v>121843.61782666855</v>
      </c>
    </row>
    <row r="315" spans="1:6" x14ac:dyDescent="0.35">
      <c r="A315">
        <v>305</v>
      </c>
      <c r="B315" s="4">
        <f t="shared" si="20"/>
        <v>121843.61782666855</v>
      </c>
      <c r="C315" s="4">
        <f t="shared" si="21"/>
        <v>2528.2720939718552</v>
      </c>
      <c r="D315" s="4">
        <f t="shared" si="22"/>
        <v>659.98626322778796</v>
      </c>
      <c r="E315" s="4">
        <f t="shared" si="23"/>
        <v>1868.2858307440672</v>
      </c>
      <c r="F315" s="4">
        <f t="shared" si="24"/>
        <v>119975.33199592448</v>
      </c>
    </row>
    <row r="316" spans="1:6" x14ac:dyDescent="0.35">
      <c r="A316">
        <v>306</v>
      </c>
      <c r="B316" s="4">
        <f t="shared" si="20"/>
        <v>119975.33199592448</v>
      </c>
      <c r="C316" s="4">
        <f t="shared" si="21"/>
        <v>2528.2720939718552</v>
      </c>
      <c r="D316" s="4">
        <f t="shared" si="22"/>
        <v>649.866381644591</v>
      </c>
      <c r="E316" s="4">
        <f t="shared" si="23"/>
        <v>1878.4057123272642</v>
      </c>
      <c r="F316" s="4">
        <f t="shared" si="24"/>
        <v>118096.92628359722</v>
      </c>
    </row>
    <row r="317" spans="1:6" x14ac:dyDescent="0.35">
      <c r="A317">
        <v>307</v>
      </c>
      <c r="B317" s="4">
        <f t="shared" si="20"/>
        <v>118096.92628359722</v>
      </c>
      <c r="C317" s="4">
        <f t="shared" si="21"/>
        <v>2528.2720939718552</v>
      </c>
      <c r="D317" s="4">
        <f t="shared" si="22"/>
        <v>639.69168403615163</v>
      </c>
      <c r="E317" s="4">
        <f t="shared" si="23"/>
        <v>1888.5804099357035</v>
      </c>
      <c r="F317" s="4">
        <f t="shared" si="24"/>
        <v>116208.34587366151</v>
      </c>
    </row>
    <row r="318" spans="1:6" x14ac:dyDescent="0.35">
      <c r="A318">
        <v>308</v>
      </c>
      <c r="B318" s="4">
        <f t="shared" si="20"/>
        <v>116208.34587366151</v>
      </c>
      <c r="C318" s="4">
        <f t="shared" si="21"/>
        <v>2528.2720939718552</v>
      </c>
      <c r="D318" s="4">
        <f t="shared" si="22"/>
        <v>629.4618734823332</v>
      </c>
      <c r="E318" s="4">
        <f t="shared" si="23"/>
        <v>1898.810220489522</v>
      </c>
      <c r="F318" s="4">
        <f t="shared" si="24"/>
        <v>114309.53565317199</v>
      </c>
    </row>
    <row r="319" spans="1:6" x14ac:dyDescent="0.35">
      <c r="A319">
        <v>309</v>
      </c>
      <c r="B319" s="4">
        <f t="shared" si="20"/>
        <v>114309.53565317199</v>
      </c>
      <c r="C319" s="4">
        <f t="shared" si="21"/>
        <v>2528.2720939718552</v>
      </c>
      <c r="D319" s="4">
        <f t="shared" si="22"/>
        <v>619.17665145468163</v>
      </c>
      <c r="E319" s="4">
        <f t="shared" si="23"/>
        <v>1909.0954425171735</v>
      </c>
      <c r="F319" s="4">
        <f t="shared" si="24"/>
        <v>112400.44021065481</v>
      </c>
    </row>
    <row r="320" spans="1:6" x14ac:dyDescent="0.35">
      <c r="A320">
        <v>310</v>
      </c>
      <c r="B320" s="4">
        <f t="shared" si="20"/>
        <v>112400.44021065481</v>
      </c>
      <c r="C320" s="4">
        <f t="shared" si="21"/>
        <v>2528.2720939718552</v>
      </c>
      <c r="D320" s="4">
        <f t="shared" si="22"/>
        <v>608.83571780771354</v>
      </c>
      <c r="E320" s="4">
        <f t="shared" si="23"/>
        <v>1919.4363761641416</v>
      </c>
      <c r="F320" s="4">
        <f t="shared" si="24"/>
        <v>110481.00383449066</v>
      </c>
    </row>
    <row r="321" spans="1:6" x14ac:dyDescent="0.35">
      <c r="A321">
        <v>311</v>
      </c>
      <c r="B321" s="4">
        <f t="shared" si="20"/>
        <v>110481.00383449066</v>
      </c>
      <c r="C321" s="4">
        <f t="shared" si="21"/>
        <v>2528.2720939718552</v>
      </c>
      <c r="D321" s="4">
        <f t="shared" si="22"/>
        <v>598.43877077015782</v>
      </c>
      <c r="E321" s="4">
        <f t="shared" si="23"/>
        <v>1929.8333232016973</v>
      </c>
      <c r="F321" s="4">
        <f t="shared" si="24"/>
        <v>108551.17051128896</v>
      </c>
    </row>
    <row r="322" spans="1:6" x14ac:dyDescent="0.35">
      <c r="A322">
        <v>312</v>
      </c>
      <c r="B322" s="4">
        <f t="shared" si="20"/>
        <v>108551.17051128896</v>
      </c>
      <c r="C322" s="4">
        <f t="shared" si="21"/>
        <v>2528.2720939718552</v>
      </c>
      <c r="D322" s="4">
        <f t="shared" si="22"/>
        <v>587.98550693614857</v>
      </c>
      <c r="E322" s="4">
        <f t="shared" si="23"/>
        <v>1940.2865870357066</v>
      </c>
      <c r="F322" s="4">
        <f t="shared" si="24"/>
        <v>106610.88392425326</v>
      </c>
    </row>
    <row r="323" spans="1:6" x14ac:dyDescent="0.35">
      <c r="A323">
        <v>313</v>
      </c>
      <c r="B323" s="4">
        <f t="shared" si="20"/>
        <v>106610.88392425326</v>
      </c>
      <c r="C323" s="4">
        <f t="shared" si="21"/>
        <v>2528.2720939718552</v>
      </c>
      <c r="D323" s="4">
        <f t="shared" si="22"/>
        <v>577.47562125637182</v>
      </c>
      <c r="E323" s="4">
        <f t="shared" si="23"/>
        <v>1950.7964727154833</v>
      </c>
      <c r="F323" s="4">
        <f t="shared" si="24"/>
        <v>104660.08745153777</v>
      </c>
    </row>
    <row r="324" spans="1:6" x14ac:dyDescent="0.35">
      <c r="A324">
        <v>314</v>
      </c>
      <c r="B324" s="4">
        <f t="shared" si="20"/>
        <v>104660.08745153777</v>
      </c>
      <c r="C324" s="4">
        <f t="shared" si="21"/>
        <v>2528.2720939718552</v>
      </c>
      <c r="D324" s="4">
        <f t="shared" si="22"/>
        <v>566.90880702916297</v>
      </c>
      <c r="E324" s="4">
        <f t="shared" si="23"/>
        <v>1961.3632869426922</v>
      </c>
      <c r="F324" s="4">
        <f t="shared" si="24"/>
        <v>102698.72416459507</v>
      </c>
    </row>
    <row r="325" spans="1:6" x14ac:dyDescent="0.35">
      <c r="A325">
        <v>315</v>
      </c>
      <c r="B325" s="4">
        <f t="shared" si="20"/>
        <v>102698.72416459507</v>
      </c>
      <c r="C325" s="4">
        <f t="shared" si="21"/>
        <v>2528.2720939718552</v>
      </c>
      <c r="D325" s="4">
        <f t="shared" si="22"/>
        <v>556.28475589155664</v>
      </c>
      <c r="E325" s="4">
        <f t="shared" si="23"/>
        <v>1971.9873380802985</v>
      </c>
      <c r="F325" s="4">
        <f t="shared" si="24"/>
        <v>100726.73682651477</v>
      </c>
    </row>
    <row r="326" spans="1:6" x14ac:dyDescent="0.35">
      <c r="A326">
        <v>316</v>
      </c>
      <c r="B326" s="4">
        <f t="shared" si="20"/>
        <v>100726.73682651477</v>
      </c>
      <c r="C326" s="4">
        <f t="shared" si="21"/>
        <v>2528.2720939718552</v>
      </c>
      <c r="D326" s="4">
        <f t="shared" si="22"/>
        <v>545.60315781028839</v>
      </c>
      <c r="E326" s="4">
        <f t="shared" si="23"/>
        <v>1982.6689361615668</v>
      </c>
      <c r="F326" s="4">
        <f t="shared" si="24"/>
        <v>98744.067890353195</v>
      </c>
    </row>
    <row r="327" spans="1:6" x14ac:dyDescent="0.35">
      <c r="A327">
        <v>317</v>
      </c>
      <c r="B327" s="4">
        <f t="shared" si="20"/>
        <v>98744.067890353195</v>
      </c>
      <c r="C327" s="4">
        <f t="shared" si="21"/>
        <v>2528.2720939718552</v>
      </c>
      <c r="D327" s="4">
        <f t="shared" si="22"/>
        <v>534.86370107274649</v>
      </c>
      <c r="E327" s="4">
        <f t="shared" si="23"/>
        <v>1993.4083928991085</v>
      </c>
      <c r="F327" s="4">
        <f t="shared" si="24"/>
        <v>96750.659497454093</v>
      </c>
    </row>
    <row r="328" spans="1:6" x14ac:dyDescent="0.35">
      <c r="A328">
        <v>318</v>
      </c>
      <c r="B328" s="4">
        <f t="shared" si="20"/>
        <v>96750.659497454093</v>
      </c>
      <c r="C328" s="4">
        <f t="shared" si="21"/>
        <v>2528.2720939718552</v>
      </c>
      <c r="D328" s="4">
        <f t="shared" si="22"/>
        <v>524.0660722778764</v>
      </c>
      <c r="E328" s="4">
        <f t="shared" si="23"/>
        <v>2004.2060216939788</v>
      </c>
      <c r="F328" s="4">
        <f t="shared" si="24"/>
        <v>94746.453475760121</v>
      </c>
    </row>
    <row r="329" spans="1:6" x14ac:dyDescent="0.35">
      <c r="A329">
        <v>319</v>
      </c>
      <c r="B329" s="4">
        <f t="shared" si="20"/>
        <v>94746.453475760121</v>
      </c>
      <c r="C329" s="4">
        <f t="shared" si="21"/>
        <v>2528.2720939718552</v>
      </c>
      <c r="D329" s="4">
        <f t="shared" si="22"/>
        <v>513.20995632703398</v>
      </c>
      <c r="E329" s="4">
        <f t="shared" si="23"/>
        <v>2015.0621376448212</v>
      </c>
      <c r="F329" s="4">
        <f t="shared" si="24"/>
        <v>92731.391338115296</v>
      </c>
    </row>
    <row r="330" spans="1:6" x14ac:dyDescent="0.35">
      <c r="A330">
        <v>320</v>
      </c>
      <c r="B330" s="4">
        <f t="shared" si="20"/>
        <v>92731.391338115296</v>
      </c>
      <c r="C330" s="4">
        <f t="shared" si="21"/>
        <v>2528.2720939718552</v>
      </c>
      <c r="D330" s="4">
        <f t="shared" si="22"/>
        <v>502.29503641479118</v>
      </c>
      <c r="E330" s="4">
        <f t="shared" si="23"/>
        <v>2025.977057557064</v>
      </c>
      <c r="F330" s="4">
        <f t="shared" si="24"/>
        <v>90705.414280558238</v>
      </c>
    </row>
    <row r="331" spans="1:6" x14ac:dyDescent="0.35">
      <c r="A331">
        <v>321</v>
      </c>
      <c r="B331" s="4">
        <f t="shared" si="20"/>
        <v>90705.414280558238</v>
      </c>
      <c r="C331" s="4">
        <f t="shared" si="21"/>
        <v>2528.2720939718552</v>
      </c>
      <c r="D331" s="4">
        <f t="shared" si="22"/>
        <v>491.32099401969049</v>
      </c>
      <c r="E331" s="4">
        <f t="shared" si="23"/>
        <v>2036.9510999521647</v>
      </c>
      <c r="F331" s="4">
        <f t="shared" si="24"/>
        <v>88668.463180606079</v>
      </c>
    </row>
    <row r="332" spans="1:6" x14ac:dyDescent="0.35">
      <c r="A332">
        <v>322</v>
      </c>
      <c r="B332" s="4">
        <f t="shared" ref="B332:B370" si="25">F331</f>
        <v>88668.463180606079</v>
      </c>
      <c r="C332" s="4">
        <f t="shared" ref="C332:C370" si="26">IF(A332&gt;($B$4*12), "", $B$6)</f>
        <v>2528.2720939718552</v>
      </c>
      <c r="D332" s="4">
        <f t="shared" ref="D332:D370" si="27">IF(B332&lt;=0, 0, B332*($B$3/12))</f>
        <v>480.28750889494961</v>
      </c>
      <c r="E332" s="4">
        <f t="shared" ref="E332:E370" si="28">IF(B332&lt;=0, 0, C332-D332)</f>
        <v>2047.9845850769057</v>
      </c>
      <c r="F332" s="4">
        <f t="shared" ref="F332:F369" si="29">IF(B332&lt;=0, 0, B332-E332)</f>
        <v>86620.478595529174</v>
      </c>
    </row>
    <row r="333" spans="1:6" x14ac:dyDescent="0.35">
      <c r="A333">
        <v>323</v>
      </c>
      <c r="B333" s="4">
        <f t="shared" si="25"/>
        <v>86620.478595529174</v>
      </c>
      <c r="C333" s="4">
        <f t="shared" si="26"/>
        <v>2528.2720939718552</v>
      </c>
      <c r="D333" s="4">
        <f t="shared" si="27"/>
        <v>469.19425905911635</v>
      </c>
      <c r="E333" s="4">
        <f t="shared" si="28"/>
        <v>2059.0778349127386</v>
      </c>
      <c r="F333" s="4">
        <f t="shared" si="29"/>
        <v>84561.400760616438</v>
      </c>
    </row>
    <row r="334" spans="1:6" x14ac:dyDescent="0.35">
      <c r="A334">
        <v>324</v>
      </c>
      <c r="B334" s="4">
        <f t="shared" si="25"/>
        <v>84561.400760616438</v>
      </c>
      <c r="C334" s="4">
        <f t="shared" si="26"/>
        <v>2528.2720939718552</v>
      </c>
      <c r="D334" s="4">
        <f t="shared" si="27"/>
        <v>458.04092078667236</v>
      </c>
      <c r="E334" s="4">
        <f t="shared" si="28"/>
        <v>2070.2311731851828</v>
      </c>
      <c r="F334" s="4">
        <f t="shared" si="29"/>
        <v>82491.169587431257</v>
      </c>
    </row>
    <row r="335" spans="1:6" x14ac:dyDescent="0.35">
      <c r="A335">
        <v>325</v>
      </c>
      <c r="B335" s="4">
        <f t="shared" si="25"/>
        <v>82491.169587431257</v>
      </c>
      <c r="C335" s="4">
        <f t="shared" si="26"/>
        <v>2528.2720939718552</v>
      </c>
      <c r="D335" s="4">
        <f t="shared" si="27"/>
        <v>446.82716859858601</v>
      </c>
      <c r="E335" s="4">
        <f t="shared" si="28"/>
        <v>2081.4449253732691</v>
      </c>
      <c r="F335" s="4">
        <f t="shared" si="29"/>
        <v>80409.724662057983</v>
      </c>
    </row>
    <row r="336" spans="1:6" x14ac:dyDescent="0.35">
      <c r="A336">
        <v>326</v>
      </c>
      <c r="B336" s="4">
        <f t="shared" si="25"/>
        <v>80409.724662057983</v>
      </c>
      <c r="C336" s="4">
        <f t="shared" si="26"/>
        <v>2528.2720939718552</v>
      </c>
      <c r="D336" s="4">
        <f t="shared" si="27"/>
        <v>435.55267525281408</v>
      </c>
      <c r="E336" s="4">
        <f t="shared" si="28"/>
        <v>2092.7194187190412</v>
      </c>
      <c r="F336" s="4">
        <f t="shared" si="29"/>
        <v>78317.005243338936</v>
      </c>
    </row>
    <row r="337" spans="1:6" x14ac:dyDescent="0.35">
      <c r="A337">
        <v>327</v>
      </c>
      <c r="B337" s="4">
        <f t="shared" si="25"/>
        <v>78317.005243338936</v>
      </c>
      <c r="C337" s="4">
        <f t="shared" si="26"/>
        <v>2528.2720939718552</v>
      </c>
      <c r="D337" s="4">
        <f t="shared" si="27"/>
        <v>424.21711173475256</v>
      </c>
      <c r="E337" s="4">
        <f t="shared" si="28"/>
        <v>2104.0549822371026</v>
      </c>
      <c r="F337" s="4">
        <f t="shared" si="29"/>
        <v>76212.95026110184</v>
      </c>
    </row>
    <row r="338" spans="1:6" x14ac:dyDescent="0.35">
      <c r="A338">
        <v>328</v>
      </c>
      <c r="B338" s="4">
        <f t="shared" si="25"/>
        <v>76212.95026110184</v>
      </c>
      <c r="C338" s="4">
        <f t="shared" si="26"/>
        <v>2528.2720939718552</v>
      </c>
      <c r="D338" s="4">
        <f t="shared" si="27"/>
        <v>412.82014724763496</v>
      </c>
      <c r="E338" s="4">
        <f t="shared" si="28"/>
        <v>2115.4519467242203</v>
      </c>
      <c r="F338" s="4">
        <f t="shared" si="29"/>
        <v>74097.498314377619</v>
      </c>
    </row>
    <row r="339" spans="1:6" x14ac:dyDescent="0.35">
      <c r="A339">
        <v>329</v>
      </c>
      <c r="B339" s="4">
        <f t="shared" si="25"/>
        <v>74097.498314377619</v>
      </c>
      <c r="C339" s="4">
        <f t="shared" si="26"/>
        <v>2528.2720939718552</v>
      </c>
      <c r="D339" s="4">
        <f t="shared" si="27"/>
        <v>401.36144920287876</v>
      </c>
      <c r="E339" s="4">
        <f t="shared" si="28"/>
        <v>2126.9106447689765</v>
      </c>
      <c r="F339" s="4">
        <f t="shared" si="29"/>
        <v>71970.587669608649</v>
      </c>
    </row>
    <row r="340" spans="1:6" x14ac:dyDescent="0.35">
      <c r="A340">
        <v>330</v>
      </c>
      <c r="B340" s="4">
        <f t="shared" si="25"/>
        <v>71970.587669608649</v>
      </c>
      <c r="C340" s="4">
        <f t="shared" si="26"/>
        <v>2528.2720939718552</v>
      </c>
      <c r="D340" s="4">
        <f t="shared" si="27"/>
        <v>389.84068321038018</v>
      </c>
      <c r="E340" s="4">
        <f t="shared" si="28"/>
        <v>2138.431410761475</v>
      </c>
      <c r="F340" s="4">
        <f t="shared" si="29"/>
        <v>69832.156258847172</v>
      </c>
    </row>
    <row r="341" spans="1:6" x14ac:dyDescent="0.35">
      <c r="A341">
        <v>331</v>
      </c>
      <c r="B341" s="4">
        <f t="shared" si="25"/>
        <v>69832.156258847172</v>
      </c>
      <c r="C341" s="4">
        <f t="shared" si="26"/>
        <v>2528.2720939718552</v>
      </c>
      <c r="D341" s="4">
        <f t="shared" si="27"/>
        <v>378.25751306875554</v>
      </c>
      <c r="E341" s="4">
        <f t="shared" si="28"/>
        <v>2150.0145809030996</v>
      </c>
      <c r="F341" s="4">
        <f t="shared" si="29"/>
        <v>67682.141677944077</v>
      </c>
    </row>
    <row r="342" spans="1:6" x14ac:dyDescent="0.35">
      <c r="A342">
        <v>332</v>
      </c>
      <c r="B342" s="4">
        <f t="shared" si="25"/>
        <v>67682.141677944077</v>
      </c>
      <c r="C342" s="4">
        <f t="shared" si="26"/>
        <v>2528.2720939718552</v>
      </c>
      <c r="D342" s="4">
        <f t="shared" si="27"/>
        <v>366.61160075553045</v>
      </c>
      <c r="E342" s="4">
        <f t="shared" si="28"/>
        <v>2161.6604932163245</v>
      </c>
      <c r="F342" s="4">
        <f t="shared" si="29"/>
        <v>65520.481184727752</v>
      </c>
    </row>
    <row r="343" spans="1:6" x14ac:dyDescent="0.35">
      <c r="A343">
        <v>333</v>
      </c>
      <c r="B343" s="4">
        <f t="shared" si="25"/>
        <v>65520.481184727752</v>
      </c>
      <c r="C343" s="4">
        <f t="shared" si="26"/>
        <v>2528.2720939718552</v>
      </c>
      <c r="D343" s="4">
        <f t="shared" si="27"/>
        <v>354.90260641727536</v>
      </c>
      <c r="E343" s="4">
        <f t="shared" si="28"/>
        <v>2173.3694875545798</v>
      </c>
      <c r="F343" s="4">
        <f t="shared" si="29"/>
        <v>63347.111697173175</v>
      </c>
    </row>
    <row r="344" spans="1:6" x14ac:dyDescent="0.35">
      <c r="A344">
        <v>334</v>
      </c>
      <c r="B344" s="4">
        <f t="shared" si="25"/>
        <v>63347.111697173175</v>
      </c>
      <c r="C344" s="4">
        <f t="shared" si="26"/>
        <v>2528.2720939718552</v>
      </c>
      <c r="D344" s="4">
        <f t="shared" si="27"/>
        <v>343.13018835968802</v>
      </c>
      <c r="E344" s="4">
        <f t="shared" si="28"/>
        <v>2185.1419056121672</v>
      </c>
      <c r="F344" s="4">
        <f t="shared" si="29"/>
        <v>61161.969791561009</v>
      </c>
    </row>
    <row r="345" spans="1:6" x14ac:dyDescent="0.35">
      <c r="A345">
        <v>335</v>
      </c>
      <c r="B345" s="4">
        <f t="shared" si="25"/>
        <v>61161.969791561009</v>
      </c>
      <c r="C345" s="4">
        <f t="shared" si="26"/>
        <v>2528.2720939718552</v>
      </c>
      <c r="D345" s="4">
        <f t="shared" si="27"/>
        <v>331.29400303762213</v>
      </c>
      <c r="E345" s="4">
        <f t="shared" si="28"/>
        <v>2196.978090934233</v>
      </c>
      <c r="F345" s="4">
        <f t="shared" si="29"/>
        <v>58964.991700626779</v>
      </c>
    </row>
    <row r="346" spans="1:6" x14ac:dyDescent="0.35">
      <c r="A346">
        <v>336</v>
      </c>
      <c r="B346" s="4">
        <f t="shared" si="25"/>
        <v>58964.991700626779</v>
      </c>
      <c r="C346" s="4">
        <f t="shared" si="26"/>
        <v>2528.2720939718552</v>
      </c>
      <c r="D346" s="4">
        <f t="shared" si="27"/>
        <v>319.39370504506172</v>
      </c>
      <c r="E346" s="4">
        <f t="shared" si="28"/>
        <v>2208.8783889267934</v>
      </c>
      <c r="F346" s="4">
        <f t="shared" si="29"/>
        <v>56756.113311699984</v>
      </c>
    </row>
    <row r="347" spans="1:6" x14ac:dyDescent="0.35">
      <c r="A347">
        <v>337</v>
      </c>
      <c r="B347" s="4">
        <f t="shared" si="25"/>
        <v>56756.113311699984</v>
      </c>
      <c r="C347" s="4">
        <f t="shared" si="26"/>
        <v>2528.2720939718552</v>
      </c>
      <c r="D347" s="4">
        <f t="shared" si="27"/>
        <v>307.42894710504157</v>
      </c>
      <c r="E347" s="4">
        <f t="shared" si="28"/>
        <v>2220.8431468668136</v>
      </c>
      <c r="F347" s="4">
        <f t="shared" si="29"/>
        <v>54535.270164833171</v>
      </c>
    </row>
    <row r="348" spans="1:6" x14ac:dyDescent="0.35">
      <c r="A348">
        <v>338</v>
      </c>
      <c r="B348" s="4">
        <f t="shared" si="25"/>
        <v>54535.270164833171</v>
      </c>
      <c r="C348" s="4">
        <f t="shared" si="26"/>
        <v>2528.2720939718552</v>
      </c>
      <c r="D348" s="4">
        <f t="shared" si="27"/>
        <v>295.39938005951302</v>
      </c>
      <c r="E348" s="4">
        <f t="shared" si="28"/>
        <v>2232.8727139123421</v>
      </c>
      <c r="F348" s="4">
        <f t="shared" si="29"/>
        <v>52302.397450920827</v>
      </c>
    </row>
    <row r="349" spans="1:6" x14ac:dyDescent="0.35">
      <c r="A349">
        <v>339</v>
      </c>
      <c r="B349" s="4">
        <f t="shared" si="25"/>
        <v>52302.397450920827</v>
      </c>
      <c r="C349" s="4">
        <f t="shared" si="26"/>
        <v>2528.2720939718552</v>
      </c>
      <c r="D349" s="4">
        <f t="shared" si="27"/>
        <v>283.30465285915449</v>
      </c>
      <c r="E349" s="4">
        <f t="shared" si="28"/>
        <v>2244.9674411127007</v>
      </c>
      <c r="F349" s="4">
        <f t="shared" si="29"/>
        <v>50057.430009808129</v>
      </c>
    </row>
    <row r="350" spans="1:6" x14ac:dyDescent="0.35">
      <c r="A350">
        <v>340</v>
      </c>
      <c r="B350" s="4">
        <f t="shared" si="25"/>
        <v>50057.430009808129</v>
      </c>
      <c r="C350" s="4">
        <f t="shared" si="26"/>
        <v>2528.2720939718552</v>
      </c>
      <c r="D350" s="4">
        <f t="shared" si="27"/>
        <v>271.14441255312738</v>
      </c>
      <c r="E350" s="4">
        <f t="shared" si="28"/>
        <v>2257.1276814187277</v>
      </c>
      <c r="F350" s="4">
        <f t="shared" si="29"/>
        <v>47800.3023283894</v>
      </c>
    </row>
    <row r="351" spans="1:6" x14ac:dyDescent="0.35">
      <c r="A351">
        <v>341</v>
      </c>
      <c r="B351" s="4">
        <f t="shared" si="25"/>
        <v>47800.3023283894</v>
      </c>
      <c r="C351" s="4">
        <f t="shared" si="26"/>
        <v>2528.2720939718552</v>
      </c>
      <c r="D351" s="4">
        <f t="shared" si="27"/>
        <v>258.91830427877591</v>
      </c>
      <c r="E351" s="4">
        <f t="shared" si="28"/>
        <v>2269.3537896930793</v>
      </c>
      <c r="F351" s="4">
        <f t="shared" si="29"/>
        <v>45530.948538696321</v>
      </c>
    </row>
    <row r="352" spans="1:6" x14ac:dyDescent="0.35">
      <c r="A352">
        <v>342</v>
      </c>
      <c r="B352" s="4">
        <f t="shared" si="25"/>
        <v>45530.948538696321</v>
      </c>
      <c r="C352" s="4">
        <f t="shared" si="26"/>
        <v>2528.2720939718552</v>
      </c>
      <c r="D352" s="4">
        <f t="shared" si="27"/>
        <v>246.62597125127175</v>
      </c>
      <c r="E352" s="4">
        <f t="shared" si="28"/>
        <v>2281.6461227205832</v>
      </c>
      <c r="F352" s="4">
        <f t="shared" si="29"/>
        <v>43249.302415975741</v>
      </c>
    </row>
    <row r="353" spans="1:6" x14ac:dyDescent="0.35">
      <c r="A353">
        <v>343</v>
      </c>
      <c r="B353" s="4">
        <f t="shared" si="25"/>
        <v>43249.302415975741</v>
      </c>
      <c r="C353" s="4">
        <f t="shared" si="26"/>
        <v>2528.2720939718552</v>
      </c>
      <c r="D353" s="4">
        <f t="shared" si="27"/>
        <v>234.26705475320193</v>
      </c>
      <c r="E353" s="4">
        <f t="shared" si="28"/>
        <v>2294.0050392186531</v>
      </c>
      <c r="F353" s="4">
        <f t="shared" si="29"/>
        <v>40955.297376757087</v>
      </c>
    </row>
    <row r="354" spans="1:6" x14ac:dyDescent="0.35">
      <c r="A354">
        <v>344</v>
      </c>
      <c r="B354" s="4">
        <f t="shared" si="25"/>
        <v>40955.297376757087</v>
      </c>
      <c r="C354" s="4">
        <f t="shared" si="26"/>
        <v>2528.2720939718552</v>
      </c>
      <c r="D354" s="4">
        <f t="shared" si="27"/>
        <v>221.84119412410089</v>
      </c>
      <c r="E354" s="4">
        <f t="shared" si="28"/>
        <v>2306.4308998477541</v>
      </c>
      <c r="F354" s="4">
        <f t="shared" si="29"/>
        <v>38648.86647690933</v>
      </c>
    </row>
    <row r="355" spans="1:6" x14ac:dyDescent="0.35">
      <c r="A355">
        <v>345</v>
      </c>
      <c r="B355" s="4">
        <f t="shared" si="25"/>
        <v>38648.86647690933</v>
      </c>
      <c r="C355" s="4">
        <f t="shared" si="26"/>
        <v>2528.2720939718552</v>
      </c>
      <c r="D355" s="4">
        <f t="shared" si="27"/>
        <v>209.34802674992554</v>
      </c>
      <c r="E355" s="4">
        <f t="shared" si="28"/>
        <v>2318.9240672219298</v>
      </c>
      <c r="F355" s="4">
        <f t="shared" si="29"/>
        <v>36329.942409687399</v>
      </c>
    </row>
    <row r="356" spans="1:6" x14ac:dyDescent="0.35">
      <c r="A356">
        <v>346</v>
      </c>
      <c r="B356" s="4">
        <f t="shared" si="25"/>
        <v>36329.942409687399</v>
      </c>
      <c r="C356" s="4">
        <f t="shared" si="26"/>
        <v>2528.2720939718552</v>
      </c>
      <c r="D356" s="4">
        <f t="shared" si="27"/>
        <v>196.78718805247343</v>
      </c>
      <c r="E356" s="4">
        <f t="shared" si="28"/>
        <v>2331.4849059193816</v>
      </c>
      <c r="F356" s="4">
        <f t="shared" si="29"/>
        <v>33998.457503768019</v>
      </c>
    </row>
    <row r="357" spans="1:6" x14ac:dyDescent="0.35">
      <c r="A357">
        <v>347</v>
      </c>
      <c r="B357" s="4">
        <f t="shared" si="25"/>
        <v>33998.457503768019</v>
      </c>
      <c r="C357" s="4">
        <f t="shared" si="26"/>
        <v>2528.2720939718552</v>
      </c>
      <c r="D357" s="4">
        <f t="shared" si="27"/>
        <v>184.15831147874343</v>
      </c>
      <c r="E357" s="4">
        <f t="shared" si="28"/>
        <v>2344.1137824931116</v>
      </c>
      <c r="F357" s="4">
        <f t="shared" si="29"/>
        <v>31654.343721274909</v>
      </c>
    </row>
    <row r="358" spans="1:6" x14ac:dyDescent="0.35">
      <c r="A358">
        <v>348</v>
      </c>
      <c r="B358" s="4">
        <f t="shared" si="25"/>
        <v>31654.343721274909</v>
      </c>
      <c r="C358" s="4">
        <f t="shared" si="26"/>
        <v>2528.2720939718552</v>
      </c>
      <c r="D358" s="4">
        <f t="shared" si="27"/>
        <v>171.4610284902391</v>
      </c>
      <c r="E358" s="4">
        <f t="shared" si="28"/>
        <v>2356.811065481616</v>
      </c>
      <c r="F358" s="4">
        <f t="shared" si="29"/>
        <v>29297.532655793293</v>
      </c>
    </row>
    <row r="359" spans="1:6" x14ac:dyDescent="0.35">
      <c r="A359">
        <v>349</v>
      </c>
      <c r="B359" s="4">
        <f t="shared" si="25"/>
        <v>29297.532655793293</v>
      </c>
      <c r="C359" s="4">
        <f t="shared" si="26"/>
        <v>2528.2720939718552</v>
      </c>
      <c r="D359" s="4">
        <f t="shared" si="27"/>
        <v>158.69496855221368</v>
      </c>
      <c r="E359" s="4">
        <f t="shared" si="28"/>
        <v>2369.5771254196416</v>
      </c>
      <c r="F359" s="4">
        <f t="shared" si="29"/>
        <v>26927.955530373652</v>
      </c>
    </row>
    <row r="360" spans="1:6" x14ac:dyDescent="0.35">
      <c r="A360">
        <v>350</v>
      </c>
      <c r="B360" s="4">
        <f t="shared" si="25"/>
        <v>26927.955530373652</v>
      </c>
      <c r="C360" s="4">
        <f t="shared" si="26"/>
        <v>2528.2720939718552</v>
      </c>
      <c r="D360" s="4">
        <f t="shared" si="27"/>
        <v>145.8597591228573</v>
      </c>
      <c r="E360" s="4">
        <f t="shared" si="28"/>
        <v>2382.4123348489979</v>
      </c>
      <c r="F360" s="4">
        <f t="shared" si="29"/>
        <v>24545.543195524653</v>
      </c>
    </row>
    <row r="361" spans="1:6" x14ac:dyDescent="0.35">
      <c r="A361">
        <v>351</v>
      </c>
      <c r="B361" s="4">
        <f t="shared" si="25"/>
        <v>24545.543195524653</v>
      </c>
      <c r="C361" s="4">
        <f t="shared" si="26"/>
        <v>2528.2720939718552</v>
      </c>
      <c r="D361" s="4">
        <f t="shared" si="27"/>
        <v>132.9550256424252</v>
      </c>
      <c r="E361" s="4">
        <f t="shared" si="28"/>
        <v>2395.3170683294302</v>
      </c>
      <c r="F361" s="4">
        <f t="shared" si="29"/>
        <v>22150.226127195223</v>
      </c>
    </row>
    <row r="362" spans="1:6" x14ac:dyDescent="0.35">
      <c r="A362">
        <v>352</v>
      </c>
      <c r="B362" s="4">
        <f t="shared" si="25"/>
        <v>22150.226127195223</v>
      </c>
      <c r="C362" s="4">
        <f t="shared" si="26"/>
        <v>2528.2720939718552</v>
      </c>
      <c r="D362" s="4">
        <f t="shared" si="27"/>
        <v>119.98039152230746</v>
      </c>
      <c r="E362" s="4">
        <f t="shared" si="28"/>
        <v>2408.2917024495478</v>
      </c>
      <c r="F362" s="4">
        <f t="shared" si="29"/>
        <v>19741.934424745676</v>
      </c>
    </row>
    <row r="363" spans="1:6" x14ac:dyDescent="0.35">
      <c r="A363">
        <v>353</v>
      </c>
      <c r="B363" s="4">
        <f t="shared" si="25"/>
        <v>19741.934424745676</v>
      </c>
      <c r="C363" s="4">
        <f t="shared" si="26"/>
        <v>2528.2720939718552</v>
      </c>
      <c r="D363" s="4">
        <f t="shared" si="27"/>
        <v>106.93547813403907</v>
      </c>
      <c r="E363" s="4">
        <f t="shared" si="28"/>
        <v>2421.3366158378162</v>
      </c>
      <c r="F363" s="4">
        <f t="shared" si="29"/>
        <v>17320.59780890786</v>
      </c>
    </row>
    <row r="364" spans="1:6" x14ac:dyDescent="0.35">
      <c r="A364">
        <v>354</v>
      </c>
      <c r="B364" s="4">
        <f t="shared" si="25"/>
        <v>17320.59780890786</v>
      </c>
      <c r="C364" s="4">
        <f t="shared" si="26"/>
        <v>2528.2720939718552</v>
      </c>
      <c r="D364" s="4">
        <f t="shared" si="27"/>
        <v>93.819904798250917</v>
      </c>
      <c r="E364" s="4">
        <f t="shared" si="28"/>
        <v>2434.4521891736044</v>
      </c>
      <c r="F364" s="4">
        <f t="shared" si="29"/>
        <v>14886.145619734256</v>
      </c>
    </row>
    <row r="365" spans="1:6" x14ac:dyDescent="0.35">
      <c r="A365">
        <v>355</v>
      </c>
      <c r="B365" s="4">
        <f t="shared" si="25"/>
        <v>14886.145619734256</v>
      </c>
      <c r="C365" s="4">
        <f t="shared" si="26"/>
        <v>2528.2720939718552</v>
      </c>
      <c r="D365" s="4">
        <f t="shared" si="27"/>
        <v>80.633288773560551</v>
      </c>
      <c r="E365" s="4">
        <f t="shared" si="28"/>
        <v>2447.6388051982944</v>
      </c>
      <c r="F365" s="4">
        <f t="shared" si="29"/>
        <v>12438.506814535962</v>
      </c>
    </row>
    <row r="366" spans="1:6" x14ac:dyDescent="0.35">
      <c r="A366">
        <v>356</v>
      </c>
      <c r="B366" s="4">
        <f t="shared" si="25"/>
        <v>12438.506814535962</v>
      </c>
      <c r="C366" s="4">
        <f t="shared" si="26"/>
        <v>2528.2720939718552</v>
      </c>
      <c r="D366" s="4">
        <f t="shared" si="27"/>
        <v>67.375245245403136</v>
      </c>
      <c r="E366" s="4">
        <f t="shared" si="28"/>
        <v>2460.8968487264519</v>
      </c>
      <c r="F366" s="4">
        <f t="shared" si="29"/>
        <v>9977.60996580951</v>
      </c>
    </row>
    <row r="367" spans="1:6" x14ac:dyDescent="0.35">
      <c r="A367">
        <v>357</v>
      </c>
      <c r="B367" s="4">
        <f t="shared" si="25"/>
        <v>9977.60996580951</v>
      </c>
      <c r="C367" s="4">
        <f t="shared" si="26"/>
        <v>2528.2720939718552</v>
      </c>
      <c r="D367" s="4">
        <f t="shared" si="27"/>
        <v>54.045387314801516</v>
      </c>
      <c r="E367" s="4">
        <f t="shared" si="28"/>
        <v>2474.2267066570535</v>
      </c>
      <c r="F367" s="4">
        <f t="shared" si="29"/>
        <v>7503.383259152457</v>
      </c>
    </row>
    <row r="368" spans="1:6" x14ac:dyDescent="0.35">
      <c r="A368">
        <v>358</v>
      </c>
      <c r="B368" s="4">
        <f t="shared" si="25"/>
        <v>7503.383259152457</v>
      </c>
      <c r="C368" s="4">
        <f t="shared" si="26"/>
        <v>2528.2720939718552</v>
      </c>
      <c r="D368" s="4">
        <f t="shared" si="27"/>
        <v>40.643325987075812</v>
      </c>
      <c r="E368" s="4">
        <f t="shared" si="28"/>
        <v>2487.6287679847792</v>
      </c>
      <c r="F368" s="4">
        <f t="shared" si="29"/>
        <v>5015.7544911676778</v>
      </c>
    </row>
    <row r="369" spans="1:6" x14ac:dyDescent="0.35">
      <c r="A369">
        <v>359</v>
      </c>
      <c r="B369" s="4">
        <f t="shared" si="25"/>
        <v>5015.7544911676778</v>
      </c>
      <c r="C369" s="4">
        <f t="shared" si="26"/>
        <v>2528.2720939718552</v>
      </c>
      <c r="D369" s="4">
        <f t="shared" si="27"/>
        <v>27.16867016049159</v>
      </c>
      <c r="E369" s="4">
        <f t="shared" si="28"/>
        <v>2501.1034238113634</v>
      </c>
      <c r="F369" s="4">
        <f t="shared" si="29"/>
        <v>2514.6510673563143</v>
      </c>
    </row>
    <row r="370" spans="1:6" x14ac:dyDescent="0.35">
      <c r="A370">
        <v>360</v>
      </c>
      <c r="B370" s="4">
        <f t="shared" si="25"/>
        <v>2514.6510673563143</v>
      </c>
      <c r="C370" s="4">
        <f t="shared" si="26"/>
        <v>2528.2720939718552</v>
      </c>
      <c r="D370" s="4">
        <f t="shared" si="27"/>
        <v>13.621026614846704</v>
      </c>
      <c r="E370" s="4">
        <f t="shared" si="28"/>
        <v>2514.6510673570083</v>
      </c>
      <c r="F370" s="4">
        <f>IF(B370&lt;=0, 0, B370-E370)</f>
        <v>-6.9394445745274425E-10</v>
      </c>
    </row>
  </sheetData>
  <conditionalFormatting sqref="I8:L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83CD-0D84-4E56-9336-5B9FB89F95E0}">
  <dimension ref="A1:B13"/>
  <sheetViews>
    <sheetView workbookViewId="0">
      <selection activeCell="B13" sqref="B13"/>
    </sheetView>
  </sheetViews>
  <sheetFormatPr defaultRowHeight="14.5" x14ac:dyDescent="0.35"/>
  <cols>
    <col min="1" max="1" width="27.54296875" bestFit="1" customWidth="1"/>
    <col min="2" max="2" width="47.6328125" bestFit="1" customWidth="1"/>
  </cols>
  <sheetData>
    <row r="1" spans="1:2" x14ac:dyDescent="0.35">
      <c r="A1" s="5" t="s">
        <v>27</v>
      </c>
      <c r="B1" s="5" t="s">
        <v>28</v>
      </c>
    </row>
    <row r="2" spans="1:2" x14ac:dyDescent="0.35">
      <c r="A2" t="s">
        <v>29</v>
      </c>
      <c r="B2" t="s">
        <v>30</v>
      </c>
    </row>
    <row r="3" spans="1:2" x14ac:dyDescent="0.35">
      <c r="A3" t="s">
        <v>31</v>
      </c>
      <c r="B3" t="s">
        <v>32</v>
      </c>
    </row>
    <row r="4" spans="1:2" x14ac:dyDescent="0.35">
      <c r="A4" t="s">
        <v>33</v>
      </c>
      <c r="B4" t="s">
        <v>34</v>
      </c>
    </row>
    <row r="5" spans="1:2" x14ac:dyDescent="0.35">
      <c r="A5" t="s">
        <v>35</v>
      </c>
      <c r="B5" t="s">
        <v>36</v>
      </c>
    </row>
    <row r="6" spans="1:2" x14ac:dyDescent="0.35">
      <c r="A6" t="s">
        <v>37</v>
      </c>
      <c r="B6" t="s">
        <v>38</v>
      </c>
    </row>
    <row r="7" spans="1:2" x14ac:dyDescent="0.35">
      <c r="A7" t="s">
        <v>39</v>
      </c>
      <c r="B7" t="s">
        <v>40</v>
      </c>
    </row>
    <row r="8" spans="1:2" x14ac:dyDescent="0.35">
      <c r="A8" t="s">
        <v>41</v>
      </c>
      <c r="B8" t="s">
        <v>42</v>
      </c>
    </row>
    <row r="9" spans="1:2" x14ac:dyDescent="0.35">
      <c r="A9" t="s">
        <v>43</v>
      </c>
      <c r="B9" t="s">
        <v>44</v>
      </c>
    </row>
    <row r="10" spans="1:2" x14ac:dyDescent="0.35">
      <c r="A10" t="s">
        <v>45</v>
      </c>
      <c r="B10" t="s">
        <v>46</v>
      </c>
    </row>
    <row r="11" spans="1:2" x14ac:dyDescent="0.35">
      <c r="A11" t="s">
        <v>47</v>
      </c>
      <c r="B11" t="s">
        <v>48</v>
      </c>
    </row>
    <row r="12" spans="1:2" x14ac:dyDescent="0.35">
      <c r="A12" t="s">
        <v>49</v>
      </c>
      <c r="B12" t="s">
        <v>50</v>
      </c>
    </row>
    <row r="13" spans="1:2" x14ac:dyDescent="0.35">
      <c r="A13" t="s">
        <v>51</v>
      </c>
      <c r="B13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7319-2033-4ED4-9FD0-8E7771A3A6B1}">
  <dimension ref="A1:E4"/>
  <sheetViews>
    <sheetView zoomScale="53" workbookViewId="0">
      <selection activeCell="D2" sqref="D2:E4"/>
    </sheetView>
  </sheetViews>
  <sheetFormatPr defaultRowHeight="14.5" x14ac:dyDescent="0.35"/>
  <cols>
    <col min="1" max="1" width="19.6328125" bestFit="1" customWidth="1"/>
    <col min="2" max="2" width="12.90625" bestFit="1" customWidth="1"/>
    <col min="3" max="3" width="36.1796875" bestFit="1" customWidth="1"/>
    <col min="4" max="5" width="45.6328125" customWidth="1"/>
  </cols>
  <sheetData>
    <row r="1" spans="1:5" x14ac:dyDescent="0.3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</row>
    <row r="2" spans="1:5" ht="58" x14ac:dyDescent="0.35">
      <c r="A2" t="s">
        <v>18</v>
      </c>
      <c r="B2" t="s">
        <v>6</v>
      </c>
      <c r="C2" t="s">
        <v>19</v>
      </c>
      <c r="D2" s="2" t="s">
        <v>20</v>
      </c>
      <c r="E2" s="2" t="s">
        <v>21</v>
      </c>
    </row>
    <row r="3" spans="1:5" ht="58" x14ac:dyDescent="0.35">
      <c r="A3" t="s">
        <v>22</v>
      </c>
      <c r="B3" t="s">
        <v>23</v>
      </c>
      <c r="C3" t="s">
        <v>24</v>
      </c>
      <c r="D3" s="2" t="s">
        <v>25</v>
      </c>
      <c r="E3" s="2" t="s">
        <v>26</v>
      </c>
    </row>
    <row r="4" spans="1:5" ht="43.5" x14ac:dyDescent="0.35">
      <c r="A4" t="s">
        <v>53</v>
      </c>
      <c r="B4" t="s">
        <v>54</v>
      </c>
      <c r="C4" t="s">
        <v>55</v>
      </c>
      <c r="D4" s="2" t="s">
        <v>56</v>
      </c>
      <c r="E4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 Flow Model</vt:lpstr>
      <vt:lpstr>PMT Practice</vt:lpstr>
      <vt:lpstr>Shorcuts</vt:lpstr>
      <vt:lpstr>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Videtto</dc:creator>
  <cp:lastModifiedBy>Anthony Videtto</cp:lastModifiedBy>
  <dcterms:created xsi:type="dcterms:W3CDTF">2026-09-04T15:32:44Z</dcterms:created>
  <dcterms:modified xsi:type="dcterms:W3CDTF">2026-09-06T21:42:57Z</dcterms:modified>
</cp:coreProperties>
</file>