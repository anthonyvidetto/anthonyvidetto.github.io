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f5dc93f9191936/Documents/"/>
    </mc:Choice>
  </mc:AlternateContent>
  <xr:revisionPtr revIDLastSave="108" documentId="8_{753650BD-F064-4F90-8C60-D3E8A0A37AD1}" xr6:coauthVersionLast="47" xr6:coauthVersionMax="47" xr10:uidLastSave="{6FFC2578-E42E-4F85-9690-F0D2E828557D}"/>
  <bookViews>
    <workbookView xWindow="3540" yWindow="0" windowWidth="15660" windowHeight="11280" xr2:uid="{08F9DAA0-7962-4AC8-ACC7-14B880A78228}"/>
  </bookViews>
  <sheets>
    <sheet name="Sheet1" sheetId="1" r:id="rId1"/>
  </sheets>
  <definedNames>
    <definedName name="_xlnm.Print_Area" localSheetId="0">Sheet1!$A$1:$P$7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1" l="1"/>
  <c r="L2" i="1"/>
  <c r="N7" i="1"/>
  <c r="N2" i="1"/>
  <c r="N3" i="1"/>
  <c r="N4" i="1"/>
  <c r="N5" i="1"/>
  <c r="N6" i="1"/>
  <c r="L3" i="1"/>
  <c r="L4" i="1"/>
  <c r="L5" i="1"/>
  <c r="L6" i="1"/>
  <c r="I3" i="1"/>
  <c r="I4" i="1"/>
  <c r="I5" i="1"/>
  <c r="I6" i="1"/>
  <c r="I2" i="1"/>
  <c r="K3" i="1"/>
  <c r="K4" i="1"/>
  <c r="K5" i="1"/>
  <c r="F5" i="1" s="1"/>
  <c r="K6" i="1"/>
  <c r="K2" i="1"/>
</calcChain>
</file>

<file path=xl/sharedStrings.xml><?xml version="1.0" encoding="utf-8"?>
<sst xmlns="http://schemas.openxmlformats.org/spreadsheetml/2006/main" count="32" uniqueCount="27">
  <si>
    <t>323 Byron St</t>
  </si>
  <si>
    <t>Address</t>
  </si>
  <si>
    <t>Submarket</t>
  </si>
  <si>
    <t>Layout (Bed to Bath)</t>
  </si>
  <si>
    <t>Square Feet</t>
  </si>
  <si>
    <t>List Price</t>
  </si>
  <si>
    <t>Purchase Strike Price</t>
  </si>
  <si>
    <t>Hard Rehab Budget</t>
  </si>
  <si>
    <t>Holding / Carry Costs</t>
  </si>
  <si>
    <t>Total All-In Basis</t>
  </si>
  <si>
    <t>ARV</t>
  </si>
  <si>
    <t>314 Clinton St</t>
  </si>
  <si>
    <t>1222 Sheridan St</t>
  </si>
  <si>
    <t>1132 Mt Ephraim Ave</t>
  </si>
  <si>
    <t>627 York St</t>
  </si>
  <si>
    <t>3 / 1</t>
  </si>
  <si>
    <t>08102</t>
  </si>
  <si>
    <t>08103</t>
  </si>
  <si>
    <t>08104</t>
  </si>
  <si>
    <t>3 / 2</t>
  </si>
  <si>
    <t>75% LTV Refinance Loan</t>
  </si>
  <si>
    <t>Estimated Rent</t>
  </si>
  <si>
    <t>DSCR</t>
  </si>
  <si>
    <t>PITIA (Per Month)</t>
  </si>
  <si>
    <t>Total (Average)</t>
  </si>
  <si>
    <t>Net Trapped Equity</t>
  </si>
  <si>
    <t>Cash Flow (per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</si>
</sst>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6" fontId="0" fillId="0" borderId="0" xfId="0" applyNumberFormat="1"/>
    <xf numFmtId="0" fontId="0" fillId="0" borderId="0" xfId="0" quotePrefix="1" applyAlignment="1">
      <alignment horizontal="right"/>
    </xf>
    <xf numFmtId="3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39D0-92D5-4011-BD7E-835DD96930F1}">
  <sheetPr>
    <pageSetUpPr fitToPage="1"/>
  </sheetPr>
  <dimension ref="A1:P7"/>
  <sheetViews>
    <sheetView tabSelected="1" zoomScale="89" workbookViewId="0">
      <selection sqref="A1:P7"/>
    </sheetView>
  </sheetViews>
  <sheetFormatPr defaultRowHeight="14.5" x14ac:dyDescent="0.35"/>
  <cols>
    <col min="1" max="1" width="17.7265625" bestFit="1" customWidth="1"/>
    <col min="2" max="2" width="9.54296875" customWidth="1"/>
    <col min="3" max="3" width="17.1796875" bestFit="1" customWidth="1"/>
    <col min="4" max="4" width="10.453125" bestFit="1" customWidth="1"/>
    <col min="5" max="5" width="9.36328125" bestFit="1" customWidth="1"/>
    <col min="6" max="6" width="18.1796875" bestFit="1" customWidth="1"/>
    <col min="7" max="7" width="16" bestFit="1" customWidth="1"/>
    <col min="8" max="8" width="16.26953125" bestFit="1" customWidth="1"/>
    <col min="9" max="9" width="22.1796875" bestFit="1" customWidth="1"/>
    <col min="10" max="10" width="17.90625" bestFit="1" customWidth="1"/>
    <col min="11" max="11" width="20.54296875" bestFit="1" customWidth="1"/>
    <col min="12" max="13" width="17" bestFit="1" customWidth="1"/>
    <col min="14" max="14" width="13.36328125" bestFit="1" customWidth="1"/>
    <col min="15" max="16" width="19.08984375" bestFit="1" customWidth="1"/>
    <col min="17" max="17" width="17" bestFit="1" customWidth="1"/>
    <col min="18" max="18" width="16.453125" bestFit="1" customWidth="1"/>
    <col min="19" max="19" width="23.7265625" bestFit="1" customWidth="1"/>
    <col min="20" max="20" width="13.81640625" bestFit="1" customWidth="1"/>
    <col min="21" max="21" width="19.453125" bestFit="1" customWidth="1"/>
    <col min="22" max="22" width="18.7265625" bestFit="1" customWidth="1"/>
    <col min="23" max="23" width="21.08984375" bestFit="1" customWidth="1"/>
    <col min="24" max="24" width="15.36328125" bestFit="1" customWidth="1"/>
    <col min="25" max="25" width="23.453125" bestFit="1" customWidth="1"/>
    <col min="26" max="26" width="15.81640625" bestFit="1" customWidth="1"/>
    <col min="27" max="27" width="35.7265625" bestFit="1" customWidth="1"/>
    <col min="28" max="28" width="22.1796875" bestFit="1" customWidth="1"/>
    <col min="29" max="29" width="25.6328125" bestFit="1" customWidth="1"/>
    <col min="30" max="30" width="16.26953125" bestFit="1" customWidth="1"/>
  </cols>
  <sheetData>
    <row r="1" spans="1:16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20</v>
      </c>
      <c r="L1" t="s">
        <v>25</v>
      </c>
      <c r="M1" t="s">
        <v>21</v>
      </c>
      <c r="N1" t="s">
        <v>22</v>
      </c>
      <c r="O1" t="s">
        <v>23</v>
      </c>
      <c r="P1" t="s">
        <v>26</v>
      </c>
    </row>
    <row r="2" spans="1:16" x14ac:dyDescent="0.35">
      <c r="A2" t="s">
        <v>0</v>
      </c>
      <c r="B2" s="4" t="s">
        <v>16</v>
      </c>
      <c r="C2" s="2" t="s">
        <v>15</v>
      </c>
      <c r="D2" s="5">
        <v>1100</v>
      </c>
      <c r="E2" s="3">
        <v>119000</v>
      </c>
      <c r="F2" s="3">
        <v>95000</v>
      </c>
      <c r="G2" s="3">
        <v>45000</v>
      </c>
      <c r="H2" s="3">
        <v>5000</v>
      </c>
      <c r="I2" s="3">
        <f>SUM(F2+G2+H2)</f>
        <v>145000</v>
      </c>
      <c r="J2" s="3">
        <v>195000</v>
      </c>
      <c r="K2" s="3">
        <f>J2*0.75</f>
        <v>146250</v>
      </c>
      <c r="L2" s="3">
        <f>I2-K2</f>
        <v>-1250</v>
      </c>
      <c r="M2" s="6">
        <v>1920</v>
      </c>
      <c r="N2" s="7">
        <f>M2/O2</f>
        <v>1.5818743563336766</v>
      </c>
      <c r="O2" s="6">
        <v>1213.75</v>
      </c>
      <c r="P2" s="8">
        <v>285.64999999999998</v>
      </c>
    </row>
    <row r="3" spans="1:16" x14ac:dyDescent="0.35">
      <c r="A3" t="s">
        <v>11</v>
      </c>
      <c r="B3" s="4" t="s">
        <v>17</v>
      </c>
      <c r="C3" s="4" t="s">
        <v>15</v>
      </c>
      <c r="D3" s="5">
        <v>1494</v>
      </c>
      <c r="E3" s="3">
        <v>119900</v>
      </c>
      <c r="F3" s="3">
        <v>98000</v>
      </c>
      <c r="G3" s="3">
        <v>48000</v>
      </c>
      <c r="H3" s="3">
        <v>5000</v>
      </c>
      <c r="I3" s="3">
        <f>SUM(F3+G3+H3)</f>
        <v>151000</v>
      </c>
      <c r="J3" s="3">
        <v>205000</v>
      </c>
      <c r="K3" s="3">
        <f t="shared" ref="K3:K6" si="0">J3*0.75</f>
        <v>153750</v>
      </c>
      <c r="L3" s="3">
        <f t="shared" ref="L3:L6" si="1">I3-K3</f>
        <v>-2750</v>
      </c>
      <c r="M3" s="6">
        <v>1873</v>
      </c>
      <c r="N3" s="7">
        <f t="shared" ref="N3:N6" si="2">M3/O3</f>
        <v>1.4840698218006927</v>
      </c>
      <c r="O3" s="6">
        <v>1262.07</v>
      </c>
      <c r="P3" s="8">
        <v>198.79</v>
      </c>
    </row>
    <row r="4" spans="1:16" x14ac:dyDescent="0.35">
      <c r="A4" t="s">
        <v>12</v>
      </c>
      <c r="B4" s="4" t="s">
        <v>18</v>
      </c>
      <c r="C4" s="4" t="s">
        <v>19</v>
      </c>
      <c r="D4" s="5">
        <v>1100</v>
      </c>
      <c r="E4" s="3">
        <v>110000</v>
      </c>
      <c r="F4" s="3">
        <v>95000</v>
      </c>
      <c r="G4" s="3">
        <v>28000</v>
      </c>
      <c r="H4" s="3">
        <v>5000</v>
      </c>
      <c r="I4" s="3">
        <f t="shared" ref="I4:I6" si="3">SUM(F4+G4+H4)</f>
        <v>128000</v>
      </c>
      <c r="J4" s="3">
        <v>172000</v>
      </c>
      <c r="K4" s="3">
        <f t="shared" si="0"/>
        <v>129000</v>
      </c>
      <c r="L4" s="3">
        <f t="shared" si="1"/>
        <v>-1000</v>
      </c>
      <c r="M4" s="6">
        <v>1681</v>
      </c>
      <c r="N4" s="7">
        <f t="shared" si="2"/>
        <v>1.5957699281381417</v>
      </c>
      <c r="O4" s="6">
        <v>1053.4100000000001</v>
      </c>
      <c r="P4" s="8">
        <v>250.01</v>
      </c>
    </row>
    <row r="5" spans="1:16" x14ac:dyDescent="0.35">
      <c r="A5" t="s">
        <v>13</v>
      </c>
      <c r="B5" s="4" t="s">
        <v>17</v>
      </c>
      <c r="C5" s="4" t="s">
        <v>15</v>
      </c>
      <c r="D5" s="5">
        <v>1117</v>
      </c>
      <c r="E5" s="3">
        <v>79000</v>
      </c>
      <c r="F5" s="3">
        <f t="shared" ref="F5" si="4">K5-G5-H5</f>
        <v>70000</v>
      </c>
      <c r="G5" s="3">
        <v>45000</v>
      </c>
      <c r="H5" s="3">
        <v>5000</v>
      </c>
      <c r="I5" s="3">
        <f t="shared" si="3"/>
        <v>120000</v>
      </c>
      <c r="J5" s="3">
        <v>160000</v>
      </c>
      <c r="K5" s="3">
        <f t="shared" si="0"/>
        <v>120000</v>
      </c>
      <c r="L5" s="3">
        <f t="shared" si="1"/>
        <v>0</v>
      </c>
      <c r="M5" s="6">
        <v>1633</v>
      </c>
      <c r="N5" s="7">
        <f t="shared" si="2"/>
        <v>1.6927717712425752</v>
      </c>
      <c r="O5" s="6">
        <v>964.69</v>
      </c>
      <c r="P5" s="8">
        <v>299.37</v>
      </c>
    </row>
    <row r="6" spans="1:16" x14ac:dyDescent="0.35">
      <c r="A6" t="s">
        <v>14</v>
      </c>
      <c r="B6" s="4" t="s">
        <v>16</v>
      </c>
      <c r="C6" s="4" t="s">
        <v>15</v>
      </c>
      <c r="D6" s="5">
        <v>1494</v>
      </c>
      <c r="E6" s="3">
        <v>129999</v>
      </c>
      <c r="F6" s="3">
        <v>88000</v>
      </c>
      <c r="G6" s="3">
        <v>45000</v>
      </c>
      <c r="H6" s="3">
        <v>5000</v>
      </c>
      <c r="I6" s="3">
        <f t="shared" si="3"/>
        <v>138000</v>
      </c>
      <c r="J6" s="3">
        <v>195000</v>
      </c>
      <c r="K6" s="3">
        <f t="shared" si="0"/>
        <v>146250</v>
      </c>
      <c r="L6" s="3">
        <f t="shared" si="1"/>
        <v>-8250</v>
      </c>
      <c r="M6" s="6">
        <v>2009</v>
      </c>
      <c r="N6" s="7">
        <f t="shared" si="2"/>
        <v>1.7786631252766711</v>
      </c>
      <c r="O6" s="6">
        <v>1129.5</v>
      </c>
      <c r="P6" s="8">
        <v>442.88</v>
      </c>
    </row>
    <row r="7" spans="1:16" x14ac:dyDescent="0.35">
      <c r="A7" t="s">
        <v>24</v>
      </c>
      <c r="B7" s="1"/>
      <c r="C7" s="1"/>
      <c r="D7" s="1"/>
      <c r="E7" s="1"/>
      <c r="N7" s="7">
        <f>AVERAGE(N2:N6)</f>
        <v>1.6266298005583515</v>
      </c>
      <c r="P7" s="8">
        <f>AVERAGE(P2:P6)</f>
        <v>295.33999999999997</v>
      </c>
    </row>
  </sheetData>
  <pageMargins left="0.25" right="0.25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Videtto</dc:creator>
  <cp:lastModifiedBy>Anthony Videtto</cp:lastModifiedBy>
  <cp:lastPrinted>2026-10-01T00:18:00Z</cp:lastPrinted>
  <dcterms:created xsi:type="dcterms:W3CDTF">2026-09-29T23:44:50Z</dcterms:created>
  <dcterms:modified xsi:type="dcterms:W3CDTF">2026-10-01T00:18:02Z</dcterms:modified>
</cp:coreProperties>
</file>